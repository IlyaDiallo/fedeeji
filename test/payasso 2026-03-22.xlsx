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e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<sst xmlns="http://schemas.openxmlformats.org/spreadsheetml/2006/main" uniqueCount="67">
  <si>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Référence commande</t>
  </si>
  <si>
    <t>Référence bancaire</t>
  </si>
  <si>
    <t>Moyen de paiement</t>
  </si>
  <si>
    <t>Mode de paiement</t>
  </si>
  <si>
    <t>Date</t>
  </si>
  <si>
    <t>Heure</t>
  </si>
  <si>
    <t>Montant</t>
  </si>
  <si>
    <t>Devise</t>
  </si>
  <si>
    <t>Alerte</t>
  </si>
  <si>
    <t>Date de l'alerte</t>
  </si>
  <si>
    <t>Nom</t>
  </si>
  <si>
    <t>Prénom</t>
  </si>
  <si>
    <t>Adresse email</t>
  </si>
  <si>
    <t>Adresse</t>
  </si>
  <si>
    <t>Code postal</t>
  </si>
  <si>
    <t>Ville</t>
  </si>
  <si>
    <t>Pays</t>
  </si>
  <si>
    <t>Générer le reçu fiscal</t>
  </si>
  <si>
    <t>https://www.payasso.fr:443/Action/Monetico/Donationform/DownloadReceiptPdf?documentId=331104966</t>
  </si>
  <si>
    <t>https://www.payasso.fr:443/Action/Monetico/Donationform/DownloadReceiptPdf?documentId=330876355</t>
  </si>
  <si>
    <t>https://www.payasso.fr:443/Action/Monetico/Donationform/DownloadReceiptPdf?documentId=330838503</t>
  </si>
  <si>
    <t>https://www.payasso.fr:443/Action/Monetico/Donationform/DownloadReceiptPdf?documentId=330790653</t>
  </si>
  <si>
    <t>https://www.payasso.fr:443/Action/Monetico/Donationform/DownloadReceiptPdf?documentId=330790636</t>
  </si>
  <si>
    <t>https://www.payasso.fr:443/Action/Monetico/Donationform/DownloadReceiptPdf?documentId=330597968</t>
  </si>
  <si>
    <t>https://www.payasso.fr:443/Action/Monetico/Donationform/DownloadReceiptPdf?documentId=330279145</t>
  </si>
  <si>
    <t>https://www.payasso.fr:443/Action/Monetico/Donationform/DownloadReceiptPdf?documentId=329870992</t>
  </si>
  <si>
    <t>https://www.payasso.fr:443/Action/Monetico/Donationform/DownloadReceiptPdf?documentId=329867967</t>
  </si>
  <si>
    <t>https://www.payasso.fr:443/Action/Monetico/Donationform/DownloadReceiptPdf?documentId=329676334</t>
  </si>
  <si>
    <t>https://www.payasso.fr:443/Action/Monetico/Donationform/DownloadReceiptPdf?documentId=325134088</t>
  </si>
  <si>
    <t>https://www.payasso.fr:443/Action/Monetico/Donationform/DownloadReceiptPdf?documentId=325032069</t>
  </si>
  <si>
    <t>https://www.payasso.fr:443/Action/Monetico/Donationform/DownloadReceiptPdf?documentId=324911907</t>
  </si>
  <si>
    <t>https://www.payasso.fr:443/Action/Monetico/Donationform/DownloadReceiptPdf?documentId=323698590</t>
  </si>
  <si>
    <t>https://www.payasso.fr:443/Action/Monetico/Donationform/DownloadReceiptPdf?documentId=323479631</t>
  </si>
  <si>
    <t>https://www.payasso.fr:443/Action/Monetico/Donationform/DownloadReceiptPdf?documentId=323438661</t>
  </si>
  <si>
    <t>https://www.payasso.fr:443/Action/Monetico/Donationform/DownloadReceiptPdf?documentId=323313064</t>
  </si>
  <si>
    <t>https://www.payasso.fr:443/Action/Monetico/Donationform/DownloadReceiptPdf?documentId=323103649</t>
  </si>
  <si>
    <t>https://www.payasso.fr:443/Action/Monetico/Donationform/DownloadReceiptPdf?documentId=323097781</t>
  </si>
  <si>
    <t>https://www.payasso.fr:443/Action/Monetico/Donationform/DownloadReceiptPdf?documentId=323083915</t>
  </si>
  <si>
    <t>https://www.payasso.fr:443/Action/Monetico/Donationform/DownloadReceiptPdf?documentId=323019128</t>
  </si>
  <si>
    <t>https://www.payasso.fr:443/Action/Monetico/Donationform/DownloadReceiptPdf?documentId=323018853</t>
  </si>
  <si>
    <t>https://www.payasso.fr:443/Action/Monetico/Donationform/DownloadReceiptPdf?documentId=321165749</t>
  </si>
  <si>
    <t>https://www.payasso.fr:443/Action/Monetico/Donationform/DownloadReceiptPdf?documentId=320235508</t>
  </si>
  <si>
    <t>https://www.payasso.fr:443/Action/Monetico/Donationform/DownloadReceiptPdf?documentId=320011493</t>
  </si>
  <si>
    <t>https://www.payasso.fr:443/Action/Monetico/Donationform/DownloadReceiptPdf?documentId=318819356</t>
  </si>
  <si>
    <t>https://www.payasso.fr:443/Action/Monetico/Donationform/DownloadReceiptPdf?documentId=318225736</t>
  </si>
  <si>
    <t>https://www.payasso.fr:443/Action/Monetico/Donationform/DownloadReceiptPdf?documentId=318111627</t>
  </si>
  <si>
    <t>https://www.payasso.fr:443/Action/Monetico/Donationform/DownloadReceiptPdf?documentId=317753272</t>
  </si>
  <si>
    <t>https://www.payasso.fr:443/Action/Monetico/Donationform/DownloadReceiptPdf?documentId=317480650</t>
  </si>
  <si>
    <t>https://www.payasso.fr:443/Action/Monetico/Donationform/DownloadReceiptPdf?documentId=317331833</t>
  </si>
  <si>
    <t>https://www.payasso.fr:443/Action/Monetico/Donationform/DownloadReceiptPdf?documentId=317331698</t>
  </si>
  <si>
    <t>https://www.payasso.fr:443/Action/Monetico/Donationform/DownloadReceiptPdf?documentId=317251119</t>
  </si>
  <si>
    <t>https://www.payasso.fr:443/Action/Monetico/Donationform/DownloadReceiptPdf?documentId=317231774</t>
  </si>
  <si>
    <t>https://www.payasso.fr:443/Action/Monetico/Donationform/DownloadReceiptPdf?documentId=317072586</t>
  </si>
  <si>
    <t>https://www.payasso.fr:443/Action/Monetico/Donationform/DownloadReceiptPdf?documentId=316845385</t>
  </si>
  <si>
    <t>https://www.payasso.fr:443/Action/Monetico/Donationform/DownloadReceiptPdf?documentId=316841318</t>
  </si>
  <si>
    <t>https://www.payasso.fr:443/Action/Monetico/Donationform/DownloadReceiptPdf?documentId=316836746</t>
  </si>
  <si>
    <t>https://www.payasso.fr:443/Action/Monetico/Donationform/DownloadReceiptPdf?documentId=316434445</t>
  </si>
  <si>
    <t>https://www.payasso.fr:443/Action/Monetico/Donationform/DownloadReceiptPdf?documentId=316393502</t>
  </si>
  <si>
    <t>https://www.payasso.fr:443/Action/Monetico/Donationform/DownloadReceiptPdf?documentId=314547452</t>
  </si>
  <si>
    <t>https://www.payasso.fr:443/Action/Monetico/Donationform/DownloadReceiptPdf?documentId=314457137</t>
  </si>
  <si>
    <t>https://www.payasso.fr:443/Action/Monetico/Donationform/DownloadReceiptPdf?documentId=314457083</t>
  </si>
  <si>
    <t>https://www.payasso.fr:443/Action/Monetico/Donationform/DownloadReceiptPdf?documentId=314455842</t>
  </si>
  <si>
    <t>https://www.payasso.fr:443/Action/Monetico/Donationform/DownloadReceiptPdf?documentId=314367743</t>
  </si>
  <si>
    <t>https://www.payasso.fr:443/Action/Monetico/Donationform/DownloadReceiptPdf?documentId=313819327</t>
  </si>
  <si>
    <t>https://www.payasso.fr:443/Action/Monetico/Donationform/DownloadReceiptPdf?documentId=313815757</t>
  </si>
  <si>
    <t>https://www.payasso.fr:443/Action/Monetico/Donationform/DownloadReceiptPdf?documentId=313814293</t>
  </si>
  <si>
    <t>https://www.payasso.fr:443/Action/Monetico/Donationform/DownloadReceiptPdf?documentId=313607896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</si>
</sst>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tr">
        <f>"2026013447838"</f>
        <v>2026013447838</v>
      </c>
      <c r="B2" t="str">
        <f>"VRw57B6dWcv1"</f>
        <v>VRw57B6dWcv1</v>
      </c>
      <c r="C2" t="str">
        <f>"Carte bancaire"</f>
        <v>Carte bancaire</v>
      </c>
      <c r="D2" t="str">
        <f>"Comptant"</f>
        <v>Comptant</v>
      </c>
      <c r="E2" t="str">
        <f>"10/03/2026"</f>
        <v>10/03/2026</v>
      </c>
      <c r="F2" t="str">
        <f>"00:05:09"</f>
        <v>00:05:09</v>
      </c>
      <c r="G2">
        <v>100.0</v>
      </c>
      <c r="H2" t="str">
        <f>"EUR"</f>
        <v>EUR</v>
      </c>
      <c r="I2" t="str">
        <f>""</f>
        <v/>
      </c>
      <c r="J2" t="str">
        <f>""</f>
        <v/>
      </c>
      <c r="K2" t="str">
        <f>"Wann"</f>
        <v>Wann</v>
      </c>
      <c r="L2" t="str">
        <f>"Abdoul-Rahim"</f>
        <v>Abdoul-Rahim</v>
      </c>
      <c r="M2" t="str">
        <f>"arahim.wann@free.fr"</f>
        <v>arahim.wann@free.fr</v>
      </c>
      <c r="N2" t="str">
        <f>"42 rue Georges Thoretton "</f>
        <v>42 rue Georges Thoretton </v>
      </c>
      <c r="O2" t="str">
        <f>"92230"</f>
        <v>92230</v>
      </c>
      <c r="P2" t="str">
        <f>"GENNEVILLIERS "</f>
        <v>GENNEVILLIERS </v>
      </c>
      <c r="Q2" t="str">
        <f>"France"</f>
        <v>France</v>
      </c>
      <c r="R2" t="s">
        <v>18</v>
      </c>
    </row>
    <row r="3" spans="1:18">
      <c r="A3" t="str">
        <f>"2026013409995"</f>
        <v>2026013409995</v>
      </c>
      <c r="B3" t="str">
        <f>"kp4zPd8tAmgm"</f>
        <v>kp4zPd8tAmgm</v>
      </c>
      <c r="C3" t="str">
        <f>"Carte bancaire"</f>
        <v>Carte bancaire</v>
      </c>
      <c r="D3" t="str">
        <f>"Comptant"</f>
        <v>Comptant</v>
      </c>
      <c r="E3" t="str">
        <f>"27/02/2026"</f>
        <v>27/02/2026</v>
      </c>
      <c r="F3" t="str">
        <f>"02:42:39"</f>
        <v>02:42:39</v>
      </c>
      <c r="G3">
        <v>50.0</v>
      </c>
      <c r="H3" t="str">
        <f>"EUR"</f>
        <v>EUR</v>
      </c>
      <c r="I3" t="str">
        <f>""</f>
        <v/>
      </c>
      <c r="J3" t="str">
        <f>""</f>
        <v/>
      </c>
      <c r="K3" t="str">
        <f>"Barry "</f>
        <v>Barry </v>
      </c>
      <c r="L3" t="str">
        <f>"Aliou "</f>
        <v>Aliou </v>
      </c>
      <c r="M3" t="str">
        <f>"docteurbarry.a@gmail.com"</f>
        <v>docteurbarry.a@gmail.com</v>
      </c>
      <c r="N3" t="str">
        <f>"6 Rue Primo Lévi"</f>
        <v>6 Rue Primo Lévi</v>
      </c>
      <c r="O3" t="str">
        <f>"45100"</f>
        <v>45100</v>
      </c>
      <c r="P3" t="str">
        <f>"Orléans"</f>
        <v>Orléans</v>
      </c>
      <c r="Q3" t="str">
        <f>"France"</f>
        <v>France</v>
      </c>
      <c r="R3" t="s">
        <v>19</v>
      </c>
    </row>
    <row r="4" spans="1:18">
      <c r="A4" t="str">
        <f>"2026013403659"</f>
        <v>2026013403659</v>
      </c>
      <c r="B4" t="str">
        <f>"IEkwjWJ6RE48"</f>
        <v>IEkwjWJ6RE48</v>
      </c>
      <c r="C4" t="str">
        <f>"Carte bancaire"</f>
        <v>Carte bancaire</v>
      </c>
      <c r="D4" t="str">
        <f>"Comptant"</f>
        <v>Comptant</v>
      </c>
      <c r="E4" t="str">
        <f>"25/02/2026"</f>
        <v>25/02/2026</v>
      </c>
      <c r="F4" t="str">
        <f>"10:15:40"</f>
        <v>10:15:40</v>
      </c>
      <c r="G4">
        <v>100.0</v>
      </c>
      <c r="H4" t="str">
        <f>"EUR"</f>
        <v>EUR</v>
      </c>
      <c r="I4" t="str">
        <f>""</f>
        <v/>
      </c>
      <c r="J4" t="str">
        <f>""</f>
        <v/>
      </c>
      <c r="K4" t="str">
        <f>"Diallo"</f>
        <v>Diallo</v>
      </c>
      <c r="L4" t="str">
        <f>"Alpha Oumar"</f>
        <v>Alpha Oumar</v>
      </c>
      <c r="M4" t="str">
        <f>"dialloalphao@yahoo.fr"</f>
        <v>dialloalphao@yahoo.fr</v>
      </c>
      <c r="N4" t="str">
        <f>"17 Rue de Wolfisheim "</f>
        <v>17 Rue de Wolfisheim </v>
      </c>
      <c r="O4" t="str">
        <f>"67205"</f>
        <v>67205</v>
      </c>
      <c r="P4" t="str">
        <f>"Oberhausbergen "</f>
        <v>Oberhausbergen </v>
      </c>
      <c r="Q4" t="str">
        <f>"France"</f>
        <v>France</v>
      </c>
      <c r="R4" t="s">
        <v>20</v>
      </c>
    </row>
    <row r="5" spans="1:18">
      <c r="A5" t="str">
        <f>"2026013395952"</f>
        <v>2026013395952</v>
      </c>
      <c r="B5" t="str">
        <f>"t6mNvpBKpfD9"</f>
        <v>t6mNvpBKpfD9</v>
      </c>
      <c r="C5" t="str">
        <f>"Carte bancaire"</f>
        <v>Carte bancaire</v>
      </c>
      <c r="D5" t="str">
        <f>"Comptant"</f>
        <v>Comptant</v>
      </c>
      <c r="E5" t="str">
        <f>"22/02/2026"</f>
        <v>22/02/2026</v>
      </c>
      <c r="F5" t="str">
        <f>"21:07:26"</f>
        <v>21:07:26</v>
      </c>
      <c r="G5">
        <v>50.0</v>
      </c>
      <c r="H5" t="str">
        <f>"EUR"</f>
        <v>EUR</v>
      </c>
      <c r="I5" t="str">
        <f>""</f>
        <v/>
      </c>
      <c r="J5" t="str">
        <f>""</f>
        <v/>
      </c>
      <c r="K5" t="str">
        <f>"Diallo"</f>
        <v>Diallo</v>
      </c>
      <c r="L5" t="str">
        <f>"Fatoumata Binta"</f>
        <v>Fatoumata Binta</v>
      </c>
      <c r="M5" t="str">
        <f>"b.wanndiallo@hotmail.com"</f>
        <v>b.wanndiallo@hotmail.com</v>
      </c>
      <c r="N5" t="str">
        <f>"285, avenue Georges Clemenceau"</f>
        <v>285, avenue Georges Clemenceau</v>
      </c>
      <c r="O5" t="str">
        <f>"92000"</f>
        <v>92000</v>
      </c>
      <c r="P5" t="str">
        <f>"Nanterre"</f>
        <v>Nanterre</v>
      </c>
      <c r="Q5" t="str">
        <f>"France"</f>
        <v>France</v>
      </c>
      <c r="R5" t="s">
        <v>21</v>
      </c>
    </row>
    <row r="6" spans="1:18">
      <c r="A6" t="str">
        <f>"2026013395949"</f>
        <v>2026013395949</v>
      </c>
      <c r="B6" t="str">
        <f>"WpBHW9j4cz4k"</f>
        <v>WpBHW9j4cz4k</v>
      </c>
      <c r="C6" t="str">
        <f>"Carte bancaire"</f>
        <v>Carte bancaire</v>
      </c>
      <c r="D6" t="str">
        <f>"Comptant"</f>
        <v>Comptant</v>
      </c>
      <c r="E6" t="str">
        <f>"22/02/2026"</f>
        <v>22/02/2026</v>
      </c>
      <c r="F6" t="str">
        <f>"21:06:08"</f>
        <v>21:06:08</v>
      </c>
      <c r="G6">
        <v>50.0</v>
      </c>
      <c r="H6" t="str">
        <f>"EUR"</f>
        <v>EUR</v>
      </c>
      <c r="I6" t="str">
        <f>""</f>
        <v/>
      </c>
      <c r="J6" t="str">
        <f>""</f>
        <v/>
      </c>
      <c r="K6" t="str">
        <f>"Diallo"</f>
        <v>Diallo</v>
      </c>
      <c r="L6" t="str">
        <f>"Amadou"</f>
        <v>Amadou</v>
      </c>
      <c r="M6" t="str">
        <f>"amadou_diallo@sfr.fr"</f>
        <v>amadou_diallo@sfr.fr</v>
      </c>
      <c r="N6" t="str">
        <f>"285, avenue Georges Clemenceau"</f>
        <v>285, avenue Georges Clemenceau</v>
      </c>
      <c r="O6" t="str">
        <f>"92000"</f>
        <v>92000</v>
      </c>
      <c r="P6" t="str">
        <f>"Nanterre"</f>
        <v>Nanterre</v>
      </c>
      <c r="Q6" t="str">
        <f>"France"</f>
        <v>France</v>
      </c>
      <c r="R6" t="s">
        <v>22</v>
      </c>
    </row>
    <row r="7" spans="1:18">
      <c r="A7" t="str">
        <f>"2026013365261"</f>
        <v>2026013365261</v>
      </c>
      <c r="B7" t="str">
        <f>"r2YP9skf6Nrl"</f>
        <v>r2YP9skf6Nrl</v>
      </c>
      <c r="C7" t="str">
        <f>"Carte bancaire"</f>
        <v>Carte bancaire</v>
      </c>
      <c r="D7" t="str">
        <f>"Comptant"</f>
        <v>Comptant</v>
      </c>
      <c r="E7" t="str">
        <f>"12/02/2026"</f>
        <v>12/02/2026</v>
      </c>
      <c r="F7" t="str">
        <f>"10:49:35"</f>
        <v>10:49:35</v>
      </c>
      <c r="G7">
        <v>50.0</v>
      </c>
      <c r="H7" t="str">
        <f>"EUR"</f>
        <v>EUR</v>
      </c>
      <c r="I7" t="str">
        <f>""</f>
        <v/>
      </c>
      <c r="J7" t="str">
        <f>""</f>
        <v/>
      </c>
      <c r="K7" t="str">
        <f>"Diallo"</f>
        <v>Diallo</v>
      </c>
      <c r="L7" t="str">
        <f>"Oumou "</f>
        <v>Oumou </v>
      </c>
      <c r="M7" t="str">
        <f>"oumou_diallo1@yahoo.fr"</f>
        <v>oumou_diallo1@yahoo.fr</v>
      </c>
      <c r="N7" t="str">
        <f>"128 Bis Boulevard Davout "</f>
        <v>128 Bis Boulevard Davout </v>
      </c>
      <c r="O7" t="str">
        <f>"75020"</f>
        <v>75020</v>
      </c>
      <c r="P7" t="str">
        <f>"Parid"</f>
        <v>Parid</v>
      </c>
      <c r="Q7" t="str">
        <f>"France"</f>
        <v>France</v>
      </c>
      <c r="R7" t="s">
        <v>23</v>
      </c>
    </row>
    <row r="8" spans="1:18">
      <c r="A8" t="str">
        <f>"2026013314743"</f>
        <v>2026013314743</v>
      </c>
      <c r="B8" t="str">
        <f>"lnQ6ET7d8T74"</f>
        <v>lnQ6ET7d8T74</v>
      </c>
      <c r="C8" t="str">
        <f>"Carte bancaire"</f>
        <v>Carte bancaire</v>
      </c>
      <c r="D8" t="str">
        <f>"Comptant"</f>
        <v>Comptant</v>
      </c>
      <c r="E8" t="str">
        <f>"29/01/2026"</f>
        <v>29/01/2026</v>
      </c>
      <c r="F8" t="str">
        <f>"19:11:24"</f>
        <v>19:11:24</v>
      </c>
      <c r="G8">
        <v>100.0</v>
      </c>
      <c r="H8" t="str">
        <f>"EUR"</f>
        <v>EUR</v>
      </c>
      <c r="I8" t="str">
        <f>""</f>
        <v/>
      </c>
      <c r="J8" t="str">
        <f>""</f>
        <v/>
      </c>
      <c r="K8" t="str">
        <f>"Diallo "</f>
        <v>Diallo </v>
      </c>
      <c r="L8" t="str">
        <f>"Fatoumata "</f>
        <v>Fatoumata </v>
      </c>
      <c r="M8" t="str">
        <f>"fatoumatawann@yahoo.fr"</f>
        <v>fatoumatawann@yahoo.fr</v>
      </c>
      <c r="N8" t="str">
        <f>"49 bis Boulevard Foch "</f>
        <v>49 bis Boulevard Foch </v>
      </c>
      <c r="O8" t="str">
        <f>"93800"</f>
        <v>93800</v>
      </c>
      <c r="P8" t="str">
        <f>"EPINAY sur seine"</f>
        <v>EPINAY sur seine</v>
      </c>
      <c r="Q8" t="str">
        <f>"France"</f>
        <v>France</v>
      </c>
      <c r="R8" t="s">
        <v>24</v>
      </c>
    </row>
    <row r="9" spans="1:18">
      <c r="A9" t="str">
        <f>"2026013247855"</f>
        <v>2026013247855</v>
      </c>
      <c r="B9" t="str">
        <f>"m0DrMCXtujLB"</f>
        <v>m0DrMCXtujLB</v>
      </c>
      <c r="C9" t="str">
        <f>"Carte bancaire"</f>
        <v>Carte bancaire</v>
      </c>
      <c r="D9" t="str">
        <f>"Comptant"</f>
        <v>Comptant</v>
      </c>
      <c r="E9" t="str">
        <f>"11/01/2026"</f>
        <v>11/01/2026</v>
      </c>
      <c r="F9" t="str">
        <f>"17:06:01"</f>
        <v>17:06:01</v>
      </c>
      <c r="G9">
        <v>50.0</v>
      </c>
      <c r="H9" t="str">
        <f>"EUR"</f>
        <v>EUR</v>
      </c>
      <c r="I9" t="str">
        <f>""</f>
        <v/>
      </c>
      <c r="J9" t="str">
        <f>""</f>
        <v/>
      </c>
      <c r="K9" t="str">
        <f>"Diallo "</f>
        <v>Diallo </v>
      </c>
      <c r="L9" t="str">
        <f>"Boubacar  bontè"</f>
        <v>Boubacar  bontè</v>
      </c>
      <c r="M9" t="str">
        <f>"diallo.boubacar77@hotmail.fr"</f>
        <v>diallo.boubacar77@hotmail.fr</v>
      </c>
      <c r="N9" t="str">
        <f>"5,rue lequatre "</f>
        <v>5,rue lequatre </v>
      </c>
      <c r="O9" t="str">
        <f>"45120 "</f>
        <v>45120 </v>
      </c>
      <c r="P9" t="str">
        <f>"Chalette-sur-loing "</f>
        <v>Chalette-sur-loing </v>
      </c>
      <c r="Q9" t="str">
        <f>"France"</f>
        <v>France</v>
      </c>
      <c r="R9" t="s">
        <v>25</v>
      </c>
    </row>
    <row r="10" spans="1:18">
      <c r="A10" t="str">
        <f>"2026013247308"</f>
        <v>2026013247308</v>
      </c>
      <c r="B10" t="str">
        <f>"SOA5CaI7ri3L"</f>
        <v>SOA5CaI7ri3L</v>
      </c>
      <c r="C10" t="str">
        <f>"Carte bancaire"</f>
        <v>Carte bancaire</v>
      </c>
      <c r="D10" t="str">
        <f>"Comptant"</f>
        <v>Comptant</v>
      </c>
      <c r="E10" t="str">
        <f>"11/01/2026"</f>
        <v>11/01/2026</v>
      </c>
      <c r="F10" t="str">
        <f>"13:26:34"</f>
        <v>13:26:34</v>
      </c>
      <c r="G10">
        <v>50.0</v>
      </c>
      <c r="H10" t="str">
        <f>"EUR"</f>
        <v>EUR</v>
      </c>
      <c r="I10" t="str">
        <f>""</f>
        <v/>
      </c>
      <c r="J10" t="str">
        <f>""</f>
        <v/>
      </c>
      <c r="K10" t="str">
        <f>"Dramé "</f>
        <v>Dramé </v>
      </c>
      <c r="L10" t="str">
        <f>"Ahamadou Tidiane "</f>
        <v>Ahamadou Tidiane </v>
      </c>
      <c r="M10" t="str">
        <f>"siakoud@hotmail.fr"</f>
        <v>siakoud@hotmail.fr</v>
      </c>
      <c r="N10" t="str">
        <f>"18 rue des buttes appt 1156"</f>
        <v>18 rue des buttes appt 1156</v>
      </c>
      <c r="O10" t="str">
        <f>"77500"</f>
        <v>77500</v>
      </c>
      <c r="P10" t="str">
        <f>"Chelles "</f>
        <v>Chelles </v>
      </c>
      <c r="Q10" t="str">
        <f>"France"</f>
        <v>France</v>
      </c>
      <c r="R10" t="s">
        <v>26</v>
      </c>
    </row>
    <row r="11" spans="1:18">
      <c r="A11" t="str">
        <f>"2026013214875"</f>
        <v>2026013214875</v>
      </c>
      <c r="B11" t="str">
        <f>"gFGzmwZiFiW6"</f>
        <v>gFGzmwZiFiW6</v>
      </c>
      <c r="C11" t="str">
        <f>"Carte bancaire"</f>
        <v>Carte bancaire</v>
      </c>
      <c r="D11" t="str">
        <f>"Comptant"</f>
        <v>Comptant</v>
      </c>
      <c r="E11" t="str">
        <f>"01/01/2026"</f>
        <v>01/01/2026</v>
      </c>
      <c r="F11" t="str">
        <f>"14:25:45"</f>
        <v>14:25:45</v>
      </c>
      <c r="G11">
        <v>50.0</v>
      </c>
      <c r="H11" t="str">
        <f>"EUR"</f>
        <v>EUR</v>
      </c>
      <c r="I11" t="str">
        <f>""</f>
        <v/>
      </c>
      <c r="J11" t="str">
        <f>""</f>
        <v/>
      </c>
      <c r="K11" t="str">
        <f>"Diallo"</f>
        <v>Diallo</v>
      </c>
      <c r="L11" t="str">
        <f>"Ilya"</f>
        <v>Ilya</v>
      </c>
      <c r="M11" t="str">
        <f>"ilya.diallo@gmail.com"</f>
        <v>ilya.diallo@gmail.com</v>
      </c>
      <c r="N11" t="str">
        <f>"9 rue du Pont de Bart"</f>
        <v>9 rue du Pont de Bart</v>
      </c>
      <c r="O11" t="str">
        <f>"91230"</f>
        <v>91230</v>
      </c>
      <c r="P11" t="str">
        <f>"Montgeron"</f>
        <v>Montgeron</v>
      </c>
      <c r="Q11" t="str">
        <f>"France"</f>
        <v>France</v>
      </c>
      <c r="R11" t="s">
        <v>27</v>
      </c>
    </row>
    <row r="12" spans="1:18">
      <c r="A12" t="str">
        <f>"2025012480429"</f>
        <v>2025012480429</v>
      </c>
      <c r="B12" t="str">
        <f>"XDIQgUU0ukGJ"</f>
        <v>XDIQgUU0ukGJ</v>
      </c>
      <c r="C12" t="str">
        <f>"Carte bancaire"</f>
        <v>Carte bancaire</v>
      </c>
      <c r="D12" t="str">
        <f>"Comptant"</f>
        <v>Comptant</v>
      </c>
      <c r="E12" t="str">
        <f>"29/05/2025"</f>
        <v>29/05/2025</v>
      </c>
      <c r="F12" t="str">
        <f>"16:31:56"</f>
        <v>16:31:56</v>
      </c>
      <c r="G12">
        <v>50.0</v>
      </c>
      <c r="H12" t="str">
        <f>"EUR"</f>
        <v>EUR</v>
      </c>
      <c r="I12" t="str">
        <f>""</f>
        <v/>
      </c>
      <c r="J12" t="str">
        <f>""</f>
        <v/>
      </c>
      <c r="K12" t="str">
        <f>"Barry"</f>
        <v>Barry</v>
      </c>
      <c r="L12" t="str">
        <f>"Alpha"</f>
        <v>Alpha</v>
      </c>
      <c r="M12" t="str">
        <f>"alpha.barry@outlook.com"</f>
        <v>alpha.barry@outlook.com</v>
      </c>
      <c r="N12" t="str">
        <f>"103 rue sadi carnot"</f>
        <v>103 rue sadi carnot</v>
      </c>
      <c r="O12" t="str">
        <f>"92170"</f>
        <v>92170</v>
      </c>
      <c r="P12" t="str">
        <f>"Vanves"</f>
        <v>Vanves</v>
      </c>
      <c r="Q12" t="str">
        <f>"France"</f>
        <v>France</v>
      </c>
      <c r="R12" t="s">
        <v>28</v>
      </c>
    </row>
    <row r="13" spans="1:18">
      <c r="A13" t="str">
        <f>"2025012464087"</f>
        <v>2025012464087</v>
      </c>
      <c r="B13" t="str">
        <f>"bzDJKHW52Pse"</f>
        <v>bzDJKHW52Pse</v>
      </c>
      <c r="C13" t="str">
        <f>"Carte bancaire"</f>
        <v>Carte bancaire</v>
      </c>
      <c r="D13" t="str">
        <f>"Comptant"</f>
        <v>Comptant</v>
      </c>
      <c r="E13" t="str">
        <f>"23/05/2025"</f>
        <v>23/05/2025</v>
      </c>
      <c r="F13" t="str">
        <f>"20:04:55"</f>
        <v>20:04:55</v>
      </c>
      <c r="G13">
        <v>50.0</v>
      </c>
      <c r="H13" t="str">
        <f>"EUR"</f>
        <v>EUR</v>
      </c>
      <c r="I13" t="str">
        <f>""</f>
        <v/>
      </c>
      <c r="J13" t="str">
        <f>""</f>
        <v/>
      </c>
      <c r="K13" t="str">
        <f>"Barry "</f>
        <v>Barry </v>
      </c>
      <c r="L13" t="str">
        <f>"Mamadou Aliou "</f>
        <v>Mamadou Aliou </v>
      </c>
      <c r="M13" t="str">
        <f>"yrrabmaliou@gmail.com"</f>
        <v>yrrabmaliou@gmail.com</v>
      </c>
      <c r="N13" t="str">
        <f>"23 Rue des Visages Radieux "</f>
        <v>23 Rue des Visages Radieux </v>
      </c>
      <c r="O13" t="str">
        <f>"80000"</f>
        <v>80000</v>
      </c>
      <c r="P13" t="str">
        <f>"Amiens"</f>
        <v>Amiens</v>
      </c>
      <c r="Q13" t="str">
        <f>"France"</f>
        <v>France</v>
      </c>
      <c r="R13" t="s">
        <v>29</v>
      </c>
    </row>
    <row r="14" spans="1:18">
      <c r="A14" t="str">
        <f>"2025012444082"</f>
        <v>2025012444082</v>
      </c>
      <c r="B14" t="str">
        <f>"NJ1U1PugkJFx"</f>
        <v>NJ1U1PugkJFx</v>
      </c>
      <c r="C14" t="str">
        <f>"Carte bancaire"</f>
        <v>Carte bancaire</v>
      </c>
      <c r="D14" t="str">
        <f>"Comptant"</f>
        <v>Comptant</v>
      </c>
      <c r="E14" t="str">
        <f>"17/05/2025"</f>
        <v>17/05/2025</v>
      </c>
      <c r="F14" t="str">
        <f>"15:31:43"</f>
        <v>15:31:43</v>
      </c>
      <c r="G14">
        <v>50.0</v>
      </c>
      <c r="H14" t="str">
        <f>"EUR"</f>
        <v>EUR</v>
      </c>
      <c r="I14" t="str">
        <f>""</f>
        <v/>
      </c>
      <c r="J14" t="str">
        <f>""</f>
        <v/>
      </c>
      <c r="K14" t="str">
        <f>"Barry "</f>
        <v>Barry </v>
      </c>
      <c r="L14" t="str">
        <f>"Aliou "</f>
        <v>Aliou </v>
      </c>
      <c r="M14" t="str">
        <f>"docteurbarry.a@gmail.com"</f>
        <v>docteurbarry.a@gmail.com</v>
      </c>
      <c r="N14" t="str">
        <f>"6rue primo levi"</f>
        <v>6rue primo levi</v>
      </c>
      <c r="O14" t="str">
        <f>"45100"</f>
        <v>45100</v>
      </c>
      <c r="P14" t="str">
        <f>"Orléans "</f>
        <v>Orléans </v>
      </c>
      <c r="Q14" t="str">
        <f>"France"</f>
        <v>France</v>
      </c>
      <c r="R14" t="s">
        <v>30</v>
      </c>
    </row>
    <row r="15" spans="1:18">
      <c r="A15" t="str">
        <f>"2025012243361"</f>
        <v>2025012243361</v>
      </c>
      <c r="B15" t="str">
        <f>"wzULSnkElPqv"</f>
        <v>wzULSnkElPqv</v>
      </c>
      <c r="C15" t="str">
        <f>"Carte bancaire"</f>
        <v>Carte bancaire</v>
      </c>
      <c r="D15" t="str">
        <f>"Comptant"</f>
        <v>Comptant</v>
      </c>
      <c r="E15" t="str">
        <f>"07/03/2025"</f>
        <v>07/03/2025</v>
      </c>
      <c r="F15" t="str">
        <f>"09:58:19"</f>
        <v>09:58:19</v>
      </c>
      <c r="G15">
        <v>50.0</v>
      </c>
      <c r="H15" t="str">
        <f>"EUR"</f>
        <v>EUR</v>
      </c>
      <c r="I15" t="str">
        <f>""</f>
        <v/>
      </c>
      <c r="J15" t="str">
        <f>""</f>
        <v/>
      </c>
      <c r="K15" t="str">
        <f>"Diallo "</f>
        <v>Diallo </v>
      </c>
      <c r="L15" t="str">
        <f>"Oumou"</f>
        <v>Oumou</v>
      </c>
      <c r="M15" t="str">
        <f>"oumou_diallo1@yahoo.fr"</f>
        <v>oumou_diallo1@yahoo.fr</v>
      </c>
      <c r="N15" t="str">
        <f>"128 bis boulevard davout "</f>
        <v>128 bis boulevard davout </v>
      </c>
      <c r="O15" t="str">
        <f>"75020"</f>
        <v>75020</v>
      </c>
      <c r="P15" t="str">
        <f>"Paris"</f>
        <v>Paris</v>
      </c>
      <c r="Q15" t="str">
        <f>"France"</f>
        <v>France</v>
      </c>
      <c r="R15" t="s">
        <v>31</v>
      </c>
    </row>
    <row r="16" spans="1:18">
      <c r="A16" t="str">
        <f>"2025012206955"</f>
        <v>2025012206955</v>
      </c>
      <c r="B16" t="str">
        <f>"ALxrEgg2ddPG"</f>
        <v>ALxrEgg2ddPG</v>
      </c>
      <c r="C16" t="str">
        <f>"Carte bancaire"</f>
        <v>Carte bancaire</v>
      </c>
      <c r="D16" t="str">
        <f>"Comptant"</f>
        <v>Comptant</v>
      </c>
      <c r="E16" t="str">
        <f>"23/02/2025"</f>
        <v>23/02/2025</v>
      </c>
      <c r="F16" t="str">
        <f>"19:14:22"</f>
        <v>19:14:22</v>
      </c>
      <c r="G16">
        <v>50.0</v>
      </c>
      <c r="H16" t="str">
        <f>"EUR"</f>
        <v>EUR</v>
      </c>
      <c r="I16" t="str">
        <f>""</f>
        <v/>
      </c>
      <c r="J16" t="str">
        <f>""</f>
        <v/>
      </c>
      <c r="K16" t="str">
        <f>"Wann "</f>
        <v>Wann </v>
      </c>
      <c r="L16" t="str">
        <f>"Abdoul rahim "</f>
        <v>Abdoul rahim </v>
      </c>
      <c r="M16" t="str">
        <f>"arahim.wann@free.fr"</f>
        <v>arahim.wann@free.fr</v>
      </c>
      <c r="N16" t="str">
        <f>"42 rue Georges Thoretton "</f>
        <v>42 rue Georges Thoretton </v>
      </c>
      <c r="O16" t="str">
        <f>"92230"</f>
        <v>92230</v>
      </c>
      <c r="P16" t="str">
        <f>"Gennevilliers "</f>
        <v>Gennevilliers </v>
      </c>
      <c r="Q16" t="str">
        <f>"France"</f>
        <v>France</v>
      </c>
      <c r="R16" t="s">
        <v>32</v>
      </c>
    </row>
    <row r="17" spans="1:18">
      <c r="A17" t="str">
        <f>"2025012201263"</f>
        <v>2025012201263</v>
      </c>
      <c r="B17" t="str">
        <f>"7Cy7i5B5flFv"</f>
        <v>7Cy7i5B5flFv</v>
      </c>
      <c r="C17" t="str">
        <f>"Carte bancaire"</f>
        <v>Carte bancaire</v>
      </c>
      <c r="D17" t="str">
        <f>"Comptant"</f>
        <v>Comptant</v>
      </c>
      <c r="E17" t="str">
        <f>"20/02/2025"</f>
        <v>20/02/2025</v>
      </c>
      <c r="F17" t="str">
        <f>"19:17:23"</f>
        <v>19:17:23</v>
      </c>
      <c r="G17">
        <v>100.0</v>
      </c>
      <c r="H17" t="str">
        <f>"EUR"</f>
        <v>EUR</v>
      </c>
      <c r="I17" t="str">
        <f>""</f>
        <v/>
      </c>
      <c r="J17" t="str">
        <f>""</f>
        <v/>
      </c>
      <c r="K17" t="str">
        <f>"Wann "</f>
        <v>Wann </v>
      </c>
      <c r="L17" t="str">
        <f>"Abdoul rahim "</f>
        <v>Abdoul rahim </v>
      </c>
      <c r="M17" t="str">
        <f>"arahim.wann@free.fr"</f>
        <v>arahim.wann@free.fr</v>
      </c>
      <c r="N17" t="str">
        <f>"42 rue Georges Thoretton"</f>
        <v>42 rue Georges Thoretton</v>
      </c>
      <c r="O17" t="str">
        <f>"92230 "</f>
        <v>92230 </v>
      </c>
      <c r="P17" t="str">
        <f>"Gennevilliers "</f>
        <v>Gennevilliers </v>
      </c>
      <c r="Q17" t="str">
        <f>"France"</f>
        <v>France</v>
      </c>
      <c r="R17" t="s">
        <v>33</v>
      </c>
    </row>
    <row r="18" spans="1:18">
      <c r="A18" t="str">
        <f>"2025012180800"</f>
        <v>2025012180800</v>
      </c>
      <c r="B18" t="str">
        <f>"ir8BHvqzOr56"</f>
        <v>ir8BHvqzOr56</v>
      </c>
      <c r="C18" t="str">
        <f>"Carte bancaire"</f>
        <v>Carte bancaire</v>
      </c>
      <c r="D18" t="str">
        <f>"Comptant"</f>
        <v>Comptant</v>
      </c>
      <c r="E18" t="str">
        <f>"13/02/2025"</f>
        <v>13/02/2025</v>
      </c>
      <c r="F18" t="str">
        <f>"10:05:09"</f>
        <v>10:05:09</v>
      </c>
      <c r="G18">
        <v>50.0</v>
      </c>
      <c r="H18" t="str">
        <f>"EUR"</f>
        <v>EUR</v>
      </c>
      <c r="I18" t="str">
        <f>""</f>
        <v/>
      </c>
      <c r="J18" t="str">
        <f>""</f>
        <v/>
      </c>
      <c r="K18" t="str">
        <f>"Drame "</f>
        <v>Drame </v>
      </c>
      <c r="L18" t="str">
        <f>"Ahamadou Tidiane "</f>
        <v>Ahamadou Tidiane </v>
      </c>
      <c r="M18" t="str">
        <f>"siakoud@hotmail.fr"</f>
        <v>siakoud@hotmail.fr</v>
      </c>
      <c r="N18" t="str">
        <f>"18 rue des buttes "</f>
        <v>18 rue des buttes </v>
      </c>
      <c r="O18" t="str">
        <f>"77500"</f>
        <v>77500</v>
      </c>
      <c r="P18" t="str">
        <f>"Chelles "</f>
        <v>Chelles </v>
      </c>
      <c r="Q18" t="str">
        <f>"France"</f>
        <v>France</v>
      </c>
      <c r="R18" t="s">
        <v>34</v>
      </c>
    </row>
    <row r="19" spans="1:18">
      <c r="A19" t="str">
        <f>"2025012146128"</f>
        <v>2025012146128</v>
      </c>
      <c r="B19" t="str">
        <f>"P8wpJd1i4gi5"</f>
        <v>P8wpJd1i4gi5</v>
      </c>
      <c r="C19" t="str">
        <f>"Carte bancaire"</f>
        <v>Carte bancaire</v>
      </c>
      <c r="D19" t="str">
        <f>"Comptant"</f>
        <v>Comptant</v>
      </c>
      <c r="E19" t="str">
        <f>"02/02/2025"</f>
        <v>02/02/2025</v>
      </c>
      <c r="F19" t="str">
        <f>"21:11:18"</f>
        <v>21:11:18</v>
      </c>
      <c r="G19">
        <v>50.0</v>
      </c>
      <c r="H19" t="str">
        <f>"EUR"</f>
        <v>EUR</v>
      </c>
      <c r="I19" t="str">
        <f>""</f>
        <v/>
      </c>
      <c r="J19" t="str">
        <f>""</f>
        <v/>
      </c>
      <c r="K19" t="str">
        <f>"Diallo"</f>
        <v>Diallo</v>
      </c>
      <c r="L19" t="str">
        <f>"Kesso"</f>
        <v>Kesso</v>
      </c>
      <c r="M19" t="str">
        <f>"kesso.diallo1@hotmail.fr"</f>
        <v>kesso.diallo1@hotmail.fr</v>
      </c>
      <c r="N19" t="str">
        <f>"285, avenue Georges Clemenceau"</f>
        <v>285, avenue Georges Clemenceau</v>
      </c>
      <c r="O19" t="str">
        <f>"92000"</f>
        <v>92000</v>
      </c>
      <c r="P19" t="str">
        <f>"Nanterre"</f>
        <v>Nanterre</v>
      </c>
      <c r="Q19" t="str">
        <f>"France"</f>
        <v>France</v>
      </c>
      <c r="R19" t="s">
        <v>35</v>
      </c>
    </row>
    <row r="20" spans="1:18">
      <c r="A20" t="str">
        <f>"2025012145163"</f>
        <v>2025012145163</v>
      </c>
      <c r="B20" t="str">
        <f>"xJxRtCiKN5lR"</f>
        <v>xJxRtCiKN5lR</v>
      </c>
      <c r="C20" t="str">
        <f>"Carte bancaire"</f>
        <v>Carte bancaire</v>
      </c>
      <c r="D20" t="str">
        <f>"Comptant"</f>
        <v>Comptant</v>
      </c>
      <c r="E20" t="str">
        <f>"02/02/2025"</f>
        <v>02/02/2025</v>
      </c>
      <c r="F20" t="str">
        <f>"14:00:56"</f>
        <v>14:00:56</v>
      </c>
      <c r="G20">
        <v>50.0</v>
      </c>
      <c r="H20" t="str">
        <f>"EUR"</f>
        <v>EUR</v>
      </c>
      <c r="I20" t="str">
        <f>""</f>
        <v/>
      </c>
      <c r="J20" t="str">
        <f>""</f>
        <v/>
      </c>
      <c r="K20" t="str">
        <f>"Diallo"</f>
        <v>Diallo</v>
      </c>
      <c r="L20" t="str">
        <f>"Ilya"</f>
        <v>Ilya</v>
      </c>
      <c r="M20" t="str">
        <f>"ilya.diallo@gmail.com"</f>
        <v>ilya.diallo@gmail.com</v>
      </c>
      <c r="N20" t="str">
        <f>"9 rue du Pont de Bart"</f>
        <v>9 rue du Pont de Bart</v>
      </c>
      <c r="O20" t="str">
        <f>"91230"</f>
        <v>91230</v>
      </c>
      <c r="P20" t="str">
        <f>"Montgeron"</f>
        <v>Montgeron</v>
      </c>
      <c r="Q20" t="str">
        <f>"France"</f>
        <v>France</v>
      </c>
      <c r="R20" t="s">
        <v>36</v>
      </c>
    </row>
    <row r="21" spans="1:18">
      <c r="A21" t="str">
        <f>"2025012142987"</f>
        <v>2025012142987</v>
      </c>
      <c r="B21" t="str">
        <f>"4sOVfmT2Rkbc"</f>
        <v>4sOVfmT2Rkbc</v>
      </c>
      <c r="C21" t="str">
        <f>"Carte bancaire"</f>
        <v>Carte bancaire</v>
      </c>
      <c r="D21" t="str">
        <f>"Comptant"</f>
        <v>Comptant</v>
      </c>
      <c r="E21" t="str">
        <f>"01/02/2025"</f>
        <v>01/02/2025</v>
      </c>
      <c r="F21" t="str">
        <f>"11:31:39"</f>
        <v>11:31:39</v>
      </c>
      <c r="G21">
        <v>50.0</v>
      </c>
      <c r="H21" t="str">
        <f>"EUR"</f>
        <v>EUR</v>
      </c>
      <c r="I21" t="str">
        <f>""</f>
        <v/>
      </c>
      <c r="J21" t="str">
        <f>""</f>
        <v/>
      </c>
      <c r="K21" t="str">
        <f>"Diallo "</f>
        <v>Diallo </v>
      </c>
      <c r="L21" t="str">
        <f>"Négué "</f>
        <v>Négué </v>
      </c>
      <c r="M21" t="str">
        <f>"Negue.diallo77@gmail.com"</f>
        <v>Negue.diallo77@gmail.com</v>
      </c>
      <c r="N21" t="str">
        <f>"Rue de la liberté"</f>
        <v>Rue de la liberté</v>
      </c>
      <c r="O21" t="str">
        <f>"77360"</f>
        <v>77360</v>
      </c>
      <c r="P21" t="str">
        <f>"Vaires sur marne "</f>
        <v>Vaires sur marne </v>
      </c>
      <c r="Q21" t="str">
        <f>"France"</f>
        <v>France</v>
      </c>
      <c r="R21" t="s">
        <v>37</v>
      </c>
    </row>
    <row r="22" spans="1:18">
      <c r="A22" t="str">
        <f>"2025012132248"</f>
        <v>2025012132248</v>
      </c>
      <c r="B22" t="str">
        <f>"rIGsJ0XwlmlL"</f>
        <v>rIGsJ0XwlmlL</v>
      </c>
      <c r="C22" t="str">
        <f>"Carte bancaire"</f>
        <v>Carte bancaire</v>
      </c>
      <c r="D22" t="str">
        <f>"Comptant"</f>
        <v>Comptant</v>
      </c>
      <c r="E22" t="str">
        <f>"29/01/2025"</f>
        <v>29/01/2025</v>
      </c>
      <c r="F22" t="str">
        <f>"10:48:15"</f>
        <v>10:48:15</v>
      </c>
      <c r="G22">
        <v>50.0</v>
      </c>
      <c r="H22" t="str">
        <f>"EUR"</f>
        <v>EUR</v>
      </c>
      <c r="I22" t="str">
        <f>""</f>
        <v/>
      </c>
      <c r="J22" t="str">
        <f>""</f>
        <v/>
      </c>
      <c r="K22" t="str">
        <f>"Fatoimata Binta"</f>
        <v>Fatoimata Binta</v>
      </c>
      <c r="L22" t="str">
        <f>"Wann"</f>
        <v>Wann</v>
      </c>
      <c r="M22" t="str">
        <f>"b.wanndiallo@hotmail.com"</f>
        <v>b.wanndiallo@hotmail.com</v>
      </c>
      <c r="N22" t="str">
        <f>"285 av georges clemenceau"</f>
        <v>285 av georges clemenceau</v>
      </c>
      <c r="O22" t="str">
        <f>"92000"</f>
        <v>92000</v>
      </c>
      <c r="P22" t="str">
        <f>"Nanterre"</f>
        <v>Nanterre</v>
      </c>
      <c r="Q22" t="str">
        <f>"France"</f>
        <v>France</v>
      </c>
      <c r="R22" t="s">
        <v>38</v>
      </c>
    </row>
    <row r="23" spans="1:18">
      <c r="A23" t="str">
        <f>"2025012132195"</f>
        <v>2025012132195</v>
      </c>
      <c r="B23" t="str">
        <f>"FnFaubCKYfOL"</f>
        <v>FnFaubCKYfOL</v>
      </c>
      <c r="C23" t="str">
        <f>"Carte bancaire"</f>
        <v>Carte bancaire</v>
      </c>
      <c r="D23" t="str">
        <f>"Comptant"</f>
        <v>Comptant</v>
      </c>
      <c r="E23" t="str">
        <f>"29/01/2025"</f>
        <v>29/01/2025</v>
      </c>
      <c r="F23" t="str">
        <f>"10:40:34"</f>
        <v>10:40:34</v>
      </c>
      <c r="G23">
        <v>50.0</v>
      </c>
      <c r="H23" t="str">
        <f>"EUR"</f>
        <v>EUR</v>
      </c>
      <c r="I23" t="str">
        <f>""</f>
        <v/>
      </c>
      <c r="J23" t="str">
        <f>""</f>
        <v/>
      </c>
      <c r="K23" t="str">
        <f>"Diallo"</f>
        <v>Diallo</v>
      </c>
      <c r="L23" t="str">
        <f>"Amadou"</f>
        <v>Amadou</v>
      </c>
      <c r="M23" t="str">
        <f>"amadoi_diallo@sfr.fr"</f>
        <v>amadoi_diallo@sfr.fr</v>
      </c>
      <c r="N23" t="str">
        <f>"285 av Georges clemenceau"</f>
        <v>285 av Georges clemenceau</v>
      </c>
      <c r="O23" t="str">
        <f>"92000"</f>
        <v>92000</v>
      </c>
      <c r="P23" t="str">
        <f>"Nanterre"</f>
        <v>Nanterre</v>
      </c>
      <c r="Q23" t="str">
        <f>"France"</f>
        <v>France</v>
      </c>
      <c r="R23" t="s">
        <v>39</v>
      </c>
    </row>
    <row r="24" spans="1:18">
      <c r="A24" t="str">
        <f>"2024011828467"</f>
        <v>2024011828467</v>
      </c>
      <c r="B24" t="str">
        <f>"JFCokYCcjM3C"</f>
        <v>JFCokYCcjM3C</v>
      </c>
      <c r="C24" t="str">
        <f>"Carte bancaire"</f>
        <v>Carte bancaire</v>
      </c>
      <c r="D24" t="str">
        <f>"Comptant"</f>
        <v>Comptant</v>
      </c>
      <c r="E24" t="str">
        <f>"07/10/2024"</f>
        <v>07/10/2024</v>
      </c>
      <c r="F24" t="str">
        <f>"22:23:49"</f>
        <v>22:23:49</v>
      </c>
      <c r="G24">
        <v>50.0</v>
      </c>
      <c r="H24" t="str">
        <f>"EUR"</f>
        <v>EUR</v>
      </c>
      <c r="I24" t="str">
        <f>""</f>
        <v/>
      </c>
      <c r="J24" t="str">
        <f>""</f>
        <v/>
      </c>
      <c r="K24" t="str">
        <f>"Wann"</f>
        <v>Wann</v>
      </c>
      <c r="L24" t="str">
        <f>"Abdoul Rahim"</f>
        <v>Abdoul Rahim</v>
      </c>
      <c r="M24" t="str">
        <f>"arahim.wann@free.fr"</f>
        <v>arahim.wann@free.fr</v>
      </c>
      <c r="N24" t="str">
        <f>"42 rue Georges Thoretton"</f>
        <v>42 rue Georges Thoretton</v>
      </c>
      <c r="O24" t="str">
        <f>"92230"</f>
        <v>92230</v>
      </c>
      <c r="P24" t="str">
        <f>"Gennevilliers"</f>
        <v>Gennevilliers</v>
      </c>
      <c r="Q24" t="str">
        <f>"France"</f>
        <v>France</v>
      </c>
      <c r="R24" t="s">
        <v>40</v>
      </c>
    </row>
    <row r="25" spans="1:18">
      <c r="A25" t="str">
        <f>"2024011677573"</f>
        <v>2024011677573</v>
      </c>
      <c r="B25" t="str">
        <f>"DnNgx5a85czh"</f>
        <v>DnNgx5a85czh</v>
      </c>
      <c r="C25" t="str">
        <f>"Carte bancaire"</f>
        <v>Carte bancaire</v>
      </c>
      <c r="D25" t="str">
        <f>"Comptant"</f>
        <v>Comptant</v>
      </c>
      <c r="E25" t="str">
        <f>"31/08/2024"</f>
        <v>31/08/2024</v>
      </c>
      <c r="F25" t="str">
        <f>"15:48:47"</f>
        <v>15:48:47</v>
      </c>
      <c r="G25">
        <v>50.0</v>
      </c>
      <c r="H25" t="str">
        <f>"EUR"</f>
        <v>EUR</v>
      </c>
      <c r="I25" t="str">
        <f>""</f>
        <v/>
      </c>
      <c r="J25" t="str">
        <f>""</f>
        <v/>
      </c>
      <c r="K25" t="str">
        <f>"Wann"</f>
        <v>Wann</v>
      </c>
      <c r="L25" t="str">
        <f>"Abdoul Rahim"</f>
        <v>Abdoul Rahim</v>
      </c>
      <c r="M25" t="str">
        <f>"arahim.wann@free.fr"</f>
        <v>arahim.wann@free.fr</v>
      </c>
      <c r="N25" t="str">
        <f>"42 rue Georges Thoretton"</f>
        <v>42 rue Georges Thoretton</v>
      </c>
      <c r="O25" t="str">
        <f>"92230"</f>
        <v>92230</v>
      </c>
      <c r="P25" t="str">
        <f>"Gennevilliers"</f>
        <v>Gennevilliers</v>
      </c>
      <c r="Q25" t="str">
        <f>"France"</f>
        <v>France</v>
      </c>
      <c r="R25" t="s">
        <v>41</v>
      </c>
    </row>
    <row r="26" spans="1:18">
      <c r="A26" t="str">
        <f>"2024011641845"</f>
        <v>2024011641845</v>
      </c>
      <c r="B26" t="str">
        <f>"OX95jVPtKkt8"</f>
        <v>OX95jVPtKkt8</v>
      </c>
      <c r="C26" t="str">
        <f>"Carte bancaire"</f>
        <v>Carte bancaire</v>
      </c>
      <c r="D26" t="str">
        <f>"Comptant"</f>
        <v>Comptant</v>
      </c>
      <c r="E26" t="str">
        <f>"16/08/2024"</f>
        <v>16/08/2024</v>
      </c>
      <c r="F26" t="str">
        <f>"15:55:03"</f>
        <v>15:55:03</v>
      </c>
      <c r="G26">
        <v>50.0</v>
      </c>
      <c r="H26" t="str">
        <f>"EUR"</f>
        <v>EUR</v>
      </c>
      <c r="I26" t="str">
        <f>""</f>
        <v/>
      </c>
      <c r="J26" t="str">
        <f>""</f>
        <v/>
      </c>
      <c r="K26" t="str">
        <f>"Wann"</f>
        <v>Wann</v>
      </c>
      <c r="L26" t="str">
        <f>"Abdoul Rahim"</f>
        <v>Abdoul Rahim</v>
      </c>
      <c r="M26" t="str">
        <f>"arahim.wann@free.fr"</f>
        <v>arahim.wann@free.fr</v>
      </c>
      <c r="N26" t="str">
        <f>"42 rue Georges Thoretton"</f>
        <v>42 rue Georges Thoretton</v>
      </c>
      <c r="O26" t="str">
        <f>"92230"</f>
        <v>92230</v>
      </c>
      <c r="P26" t="str">
        <f>"Gennevilliers"</f>
        <v>Gennevilliers</v>
      </c>
      <c r="Q26" t="str">
        <f>"France"</f>
        <v>France</v>
      </c>
      <c r="R26" t="s">
        <v>42</v>
      </c>
    </row>
    <row r="27" spans="1:18">
      <c r="A27" t="str">
        <f>"2024011463460"</f>
        <v>2024011463460</v>
      </c>
      <c r="B27" t="str">
        <f>"RU3VabQyHiQu"</f>
        <v>RU3VabQyHiQu</v>
      </c>
      <c r="C27" t="str">
        <f>"Carte bancaire"</f>
        <v>Carte bancaire</v>
      </c>
      <c r="D27" t="str">
        <f>"Comptant"</f>
        <v>Comptant</v>
      </c>
      <c r="E27" t="str">
        <f>"31/05/2024"</f>
        <v>31/05/2024</v>
      </c>
      <c r="F27" t="str">
        <f>"19:05:10"</f>
        <v>19:05:10</v>
      </c>
      <c r="G27">
        <v>50.0</v>
      </c>
      <c r="H27" t="str">
        <f>"EUR"</f>
        <v>EUR</v>
      </c>
      <c r="I27" t="str">
        <f>""</f>
        <v/>
      </c>
      <c r="J27" t="str">
        <f>""</f>
        <v/>
      </c>
      <c r="K27" t="str">
        <f>"Barry"</f>
        <v>Barry</v>
      </c>
      <c r="L27" t="str">
        <f>"Alpha"</f>
        <v>Alpha</v>
      </c>
      <c r="M27" t="str">
        <f>"alpha.barry@outlook.com"</f>
        <v>alpha.barry@outlook.com</v>
      </c>
      <c r="N27" t="str">
        <f>"7 passage alexandre"</f>
        <v>7 passage alexandre</v>
      </c>
      <c r="O27" t="str">
        <f>"75015"</f>
        <v>75015</v>
      </c>
      <c r="P27" t="str">
        <f>"Paris"</f>
        <v>Paris</v>
      </c>
      <c r="Q27" t="str">
        <f>"France"</f>
        <v>France</v>
      </c>
      <c r="R27" t="s">
        <v>43</v>
      </c>
    </row>
    <row r="28" spans="1:18">
      <c r="A28" t="str">
        <f>"2024011370236"</f>
        <v>2024011370236</v>
      </c>
      <c r="B28" t="str">
        <f>"a2FEt7qcisaJ"</f>
        <v>a2FEt7qcisaJ</v>
      </c>
      <c r="C28" t="str">
        <f>"Carte bancaire"</f>
        <v>Carte bancaire</v>
      </c>
      <c r="D28" t="str">
        <f>"Comptant"</f>
        <v>Comptant</v>
      </c>
      <c r="E28" t="str">
        <f>"19/04/2024"</f>
        <v>19/04/2024</v>
      </c>
      <c r="F28" t="str">
        <f>"23:06:13"</f>
        <v>23:06:13</v>
      </c>
      <c r="G28">
        <v>50.0</v>
      </c>
      <c r="H28" t="str">
        <f>"EUR"</f>
        <v>EUR</v>
      </c>
      <c r="I28" t="str">
        <f>""</f>
        <v/>
      </c>
      <c r="J28" t="str">
        <f>""</f>
        <v/>
      </c>
      <c r="K28" t="str">
        <f>"Diallo"</f>
        <v>Diallo</v>
      </c>
      <c r="L28" t="str">
        <f>"Alpha Oumar"</f>
        <v>Alpha Oumar</v>
      </c>
      <c r="M28" t="str">
        <f>"dialloalphao@yahoo.fr"</f>
        <v>dialloalphao@yahoo.fr</v>
      </c>
      <c r="N28" t="str">
        <f>"17 rue de wolfisheim"</f>
        <v>17 rue de wolfisheim</v>
      </c>
      <c r="O28" t="str">
        <f>"67205"</f>
        <v>67205</v>
      </c>
      <c r="P28" t="str">
        <f>"Oberhausbergen "</f>
        <v>Oberhausbergen </v>
      </c>
      <c r="Q28" t="str">
        <f>"France"</f>
        <v>France</v>
      </c>
      <c r="R28" t="s">
        <v>44</v>
      </c>
    </row>
    <row r="29" spans="1:18">
      <c r="A29" t="str">
        <f>"2024011353720"</f>
        <v>2024011353720</v>
      </c>
      <c r="B29" t="str">
        <f>"spm0oNbNsQU0"</f>
        <v>spm0oNbNsQU0</v>
      </c>
      <c r="C29" t="str">
        <f>"Carte bancaire"</f>
        <v>Carte bancaire</v>
      </c>
      <c r="D29" t="str">
        <f>"Comptant"</f>
        <v>Comptant</v>
      </c>
      <c r="E29" t="str">
        <f>"11/04/2024"</f>
        <v>11/04/2024</v>
      </c>
      <c r="F29" t="str">
        <f>"23:54:27"</f>
        <v>23:54:27</v>
      </c>
      <c r="G29">
        <v>113.48</v>
      </c>
      <c r="H29" t="str">
        <f>"EUR"</f>
        <v>EUR</v>
      </c>
      <c r="I29" t="str">
        <f>""</f>
        <v/>
      </c>
      <c r="J29" t="str">
        <f>""</f>
        <v/>
      </c>
      <c r="K29" t="str">
        <f>"Wann"</f>
        <v>Wann</v>
      </c>
      <c r="L29" t="str">
        <f>"Abdoul Rahim"</f>
        <v>Abdoul Rahim</v>
      </c>
      <c r="M29" t="str">
        <f>"arahim.wann@free.fr"</f>
        <v>arahim.wann@free.fr</v>
      </c>
      <c r="N29" t="str">
        <f>"42 rue Georges Thoretton"</f>
        <v>42 rue Georges Thoretton</v>
      </c>
      <c r="O29" t="str">
        <f>"92230"</f>
        <v>92230</v>
      </c>
      <c r="P29" t="str">
        <f>"Gennevilliers"</f>
        <v>Gennevilliers</v>
      </c>
      <c r="Q29" t="str">
        <f>"France"</f>
        <v>France</v>
      </c>
      <c r="R29" t="s">
        <v>45</v>
      </c>
    </row>
    <row r="30" spans="1:18">
      <c r="A30" t="str">
        <f>"2024011296508"</f>
        <v>2024011296508</v>
      </c>
      <c r="B30" t="str">
        <f>"lY0wnyH1oKPd"</f>
        <v>lY0wnyH1oKPd</v>
      </c>
      <c r="C30" t="str">
        <f>"Carte bancaire"</f>
        <v>Carte bancaire</v>
      </c>
      <c r="D30" t="str">
        <f>"Comptant"</f>
        <v>Comptant</v>
      </c>
      <c r="E30" t="str">
        <f>"19/03/2024"</f>
        <v>19/03/2024</v>
      </c>
      <c r="F30" t="str">
        <f>"15:11:13"</f>
        <v>15:11:13</v>
      </c>
      <c r="G30">
        <v>75.0</v>
      </c>
      <c r="H30" t="str">
        <f>"EUR"</f>
        <v>EUR</v>
      </c>
      <c r="I30" t="str">
        <f>""</f>
        <v/>
      </c>
      <c r="J30" t="str">
        <f>""</f>
        <v/>
      </c>
      <c r="K30" t="str">
        <f>"Diallo"</f>
        <v>Diallo</v>
      </c>
      <c r="L30" t="str">
        <f>"Mohamed"</f>
        <v>Mohamed</v>
      </c>
      <c r="M30" t="str">
        <f>"dial.mohamed12@gmail.com"</f>
        <v>dial.mohamed12@gmail.com</v>
      </c>
      <c r="N30" t="str">
        <f>"128 bis Boulevard Davout"</f>
        <v>128 bis Boulevard Davout</v>
      </c>
      <c r="O30" t="str">
        <f>"75020"</f>
        <v>75020</v>
      </c>
      <c r="P30" t="str">
        <f>"Paris"</f>
        <v>Paris</v>
      </c>
      <c r="Q30" t="str">
        <f>"France"</f>
        <v>France</v>
      </c>
      <c r="R30" t="s">
        <v>46</v>
      </c>
    </row>
    <row r="31" spans="1:18">
      <c r="A31" t="str">
        <f>"2024011253640"</f>
        <v>2024011253640</v>
      </c>
      <c r="B31" t="str">
        <f>"LtRHKxCJZvnl"</f>
        <v>LtRHKxCJZvnl</v>
      </c>
      <c r="C31" t="str">
        <f>"Carte bancaire"</f>
        <v>Carte bancaire</v>
      </c>
      <c r="D31" t="str">
        <f>"Comptant"</f>
        <v>Comptant</v>
      </c>
      <c r="E31" t="str">
        <f>"02/03/2024"</f>
        <v>02/03/2024</v>
      </c>
      <c r="F31" t="str">
        <f>"13:08:54"</f>
        <v>13:08:54</v>
      </c>
      <c r="G31">
        <v>50.0</v>
      </c>
      <c r="H31" t="str">
        <f>"EUR"</f>
        <v>EUR</v>
      </c>
      <c r="I31" t="str">
        <f>""</f>
        <v/>
      </c>
      <c r="J31" t="str">
        <f>""</f>
        <v/>
      </c>
      <c r="K31" t="str">
        <f>"Drame "</f>
        <v>Drame </v>
      </c>
      <c r="L31" t="str">
        <f>"Aissata "</f>
        <v>Aissata </v>
      </c>
      <c r="M31" t="str">
        <f>"aissata.drame@gmail.com"</f>
        <v>aissata.drame@gmail.com</v>
      </c>
      <c r="N31" t="str">
        <f>"9 ter Rue de la Liberté "</f>
        <v>9 ter Rue de la Liberté </v>
      </c>
      <c r="O31" t="str">
        <f>"77360"</f>
        <v>77360</v>
      </c>
      <c r="P31" t="str">
        <f>"Vaires sur marne "</f>
        <v>Vaires sur marne </v>
      </c>
      <c r="Q31" t="str">
        <f>"France"</f>
        <v>France</v>
      </c>
      <c r="R31" t="s">
        <v>47</v>
      </c>
    </row>
    <row r="32" spans="1:18">
      <c r="A32" t="str">
        <f>"2024011230722"</f>
        <v>2024011230722</v>
      </c>
      <c r="B32" t="str">
        <f>"R24a1AHTa9Ew"</f>
        <v>R24a1AHTa9Ew</v>
      </c>
      <c r="C32" t="str">
        <f>"Carte bancaire"</f>
        <v>Carte bancaire</v>
      </c>
      <c r="D32" t="str">
        <f>"Comptant"</f>
        <v>Comptant</v>
      </c>
      <c r="E32" t="str">
        <f>"21/02/2024"</f>
        <v>21/02/2024</v>
      </c>
      <c r="F32" t="str">
        <f>"12:17:25"</f>
        <v>12:17:25</v>
      </c>
      <c r="G32">
        <v>50.0</v>
      </c>
      <c r="H32" t="str">
        <f>"EUR"</f>
        <v>EUR</v>
      </c>
      <c r="I32" t="str">
        <f>""</f>
        <v/>
      </c>
      <c r="J32" t="str">
        <f>""</f>
        <v/>
      </c>
      <c r="K32" t="str">
        <f>"Diallo"</f>
        <v>Diallo</v>
      </c>
      <c r="L32" t="str">
        <f>"Oumou "</f>
        <v>Oumou </v>
      </c>
      <c r="M32" t="str">
        <f>"oumou_diallo1@yahoo.fr"</f>
        <v>oumou_diallo1@yahoo.fr</v>
      </c>
      <c r="N32" t="str">
        <f>"128 bis Boulevard Davout "</f>
        <v>128 bis Boulevard Davout </v>
      </c>
      <c r="O32" t="str">
        <f>"75020"</f>
        <v>75020</v>
      </c>
      <c r="P32" t="str">
        <f>"Paris"</f>
        <v>Paris</v>
      </c>
      <c r="Q32" t="str">
        <f>"France"</f>
        <v>France</v>
      </c>
      <c r="R32" t="s">
        <v>48</v>
      </c>
    </row>
    <row r="33" spans="1:18">
      <c r="A33" t="str">
        <f>"2024011230693"</f>
        <v>2024011230693</v>
      </c>
      <c r="B33" t="str">
        <f>"jJbEXvIxj4RJ"</f>
        <v>jJbEXvIxj4RJ</v>
      </c>
      <c r="C33" t="str">
        <f>"Carte bancaire"</f>
        <v>Carte bancaire</v>
      </c>
      <c r="D33" t="str">
        <f>"Comptant"</f>
        <v>Comptant</v>
      </c>
      <c r="E33" t="str">
        <f>"21/02/2024"</f>
        <v>21/02/2024</v>
      </c>
      <c r="F33" t="str">
        <f>"12:06:23"</f>
        <v>12:06:23</v>
      </c>
      <c r="G33">
        <v>50.0</v>
      </c>
      <c r="H33" t="str">
        <f>"EUR"</f>
        <v>EUR</v>
      </c>
      <c r="I33" t="str">
        <f>""</f>
        <v/>
      </c>
      <c r="J33" t="str">
        <f>""</f>
        <v/>
      </c>
      <c r="K33" t="str">
        <f>"Diallo "</f>
        <v>Diallo </v>
      </c>
      <c r="L33" t="str">
        <f>"Oumou"</f>
        <v>Oumou</v>
      </c>
      <c r="M33" t="str">
        <f>"oumou_diallo1@yahoo.fr"</f>
        <v>oumou_diallo1@yahoo.fr</v>
      </c>
      <c r="N33" t="str">
        <f>"128 bis boulevard Davout "</f>
        <v>128 bis boulevard Davout </v>
      </c>
      <c r="O33" t="str">
        <f>"75020"</f>
        <v>75020</v>
      </c>
      <c r="P33" t="str">
        <f>"Paris"</f>
        <v>Paris</v>
      </c>
      <c r="Q33" t="str">
        <f>"France"</f>
        <v>France</v>
      </c>
      <c r="R33" t="s">
        <v>49</v>
      </c>
    </row>
    <row r="34" spans="1:18">
      <c r="A34" t="str">
        <f>"2024011218158"</f>
        <v>2024011218158</v>
      </c>
      <c r="B34" t="str">
        <f>"SOJBRxqOr3ud"</f>
        <v>SOJBRxqOr3ud</v>
      </c>
      <c r="C34" t="str">
        <f>"Carte bancaire"</f>
        <v>Carte bancaire</v>
      </c>
      <c r="D34" t="str">
        <f>"Comptant"</f>
        <v>Comptant</v>
      </c>
      <c r="E34" t="str">
        <f>"15/02/2024"</f>
        <v>15/02/2024</v>
      </c>
      <c r="F34" t="str">
        <f>"17:18:59"</f>
        <v>17:18:59</v>
      </c>
      <c r="G34">
        <v>100.0</v>
      </c>
      <c r="H34" t="str">
        <f>"EUR"</f>
        <v>EUR</v>
      </c>
      <c r="I34" t="str">
        <f>""</f>
        <v/>
      </c>
      <c r="J34" t="str">
        <f>""</f>
        <v/>
      </c>
      <c r="K34" t="str">
        <f>"Wann"</f>
        <v>Wann</v>
      </c>
      <c r="L34" t="str">
        <f>"Abdoul Rahim"</f>
        <v>Abdoul Rahim</v>
      </c>
      <c r="M34" t="str">
        <f>"arahim.wann@free.fr"</f>
        <v>arahim.wann@free.fr</v>
      </c>
      <c r="N34" t="str">
        <f>"42 rue Georges Thoretton"</f>
        <v>42 rue Georges Thoretton</v>
      </c>
      <c r="O34" t="str">
        <f>"92230"</f>
        <v>92230</v>
      </c>
      <c r="P34" t="str">
        <f>"Gennevilliers"</f>
        <v>Gennevilliers</v>
      </c>
      <c r="Q34" t="str">
        <f>"France"</f>
        <v>France</v>
      </c>
      <c r="R34" t="s">
        <v>50</v>
      </c>
    </row>
    <row r="35" spans="1:18">
      <c r="A35" t="str">
        <f>"2024011215154"</f>
        <v>2024011215154</v>
      </c>
      <c r="B35" t="str">
        <f>"0VQGjouyjUyw"</f>
        <v>0VQGjouyjUyw</v>
      </c>
      <c r="C35" t="str">
        <f>"Carte bancaire"</f>
        <v>Carte bancaire</v>
      </c>
      <c r="D35" t="str">
        <f>"Comptant"</f>
        <v>Comptant</v>
      </c>
      <c r="E35" t="str">
        <f>"14/02/2024"</f>
        <v>14/02/2024</v>
      </c>
      <c r="F35" t="str">
        <f>"16:11:40"</f>
        <v>16:11:40</v>
      </c>
      <c r="G35">
        <v>50.0</v>
      </c>
      <c r="H35" t="str">
        <f>"EUR"</f>
        <v>EUR</v>
      </c>
      <c r="I35" t="str">
        <f>""</f>
        <v/>
      </c>
      <c r="J35" t="str">
        <f>""</f>
        <v/>
      </c>
      <c r="K35" t="str">
        <f>"Barry "</f>
        <v>Barry </v>
      </c>
      <c r="L35" t="str">
        <f>"Aliou "</f>
        <v>Aliou </v>
      </c>
      <c r="M35" t="str">
        <f>"docteurbarry.a@gmail.com"</f>
        <v>docteurbarry.a@gmail.com</v>
      </c>
      <c r="N35" t="str">
        <f>"6 rue primo levi "</f>
        <v>6 rue primo levi </v>
      </c>
      <c r="O35" t="str">
        <f>"45100"</f>
        <v>45100</v>
      </c>
      <c r="P35" t="str">
        <f>"Orleans "</f>
        <v>Orleans </v>
      </c>
      <c r="Q35" t="str">
        <f>"France"</f>
        <v>France</v>
      </c>
      <c r="R35" t="s">
        <v>51</v>
      </c>
    </row>
    <row r="36" spans="1:18">
      <c r="A36" t="str">
        <f>"2024011189064"</f>
        <v>2024011189064</v>
      </c>
      <c r="B36" t="str">
        <f>"fKKXQ4PVxLrN"</f>
        <v>fKKXQ4PVxLrN</v>
      </c>
      <c r="C36" t="str">
        <f>"Carte bancaire"</f>
        <v>Carte bancaire</v>
      </c>
      <c r="D36" t="str">
        <f>"Comptant"</f>
        <v>Comptant</v>
      </c>
      <c r="E36" t="str">
        <f>"05/02/2024"</f>
        <v>05/02/2024</v>
      </c>
      <c r="F36" t="str">
        <f>"13:29:06"</f>
        <v>13:29:06</v>
      </c>
      <c r="G36">
        <v>50.0</v>
      </c>
      <c r="H36" t="str">
        <f>"EUR"</f>
        <v>EUR</v>
      </c>
      <c r="I36" t="str">
        <f>""</f>
        <v/>
      </c>
      <c r="J36" t="str">
        <f>""</f>
        <v/>
      </c>
      <c r="K36" t="str">
        <f>"Drame "</f>
        <v>Drame </v>
      </c>
      <c r="L36" t="str">
        <f>"Ahamadou Tidiane "</f>
        <v>Ahamadou Tidiane </v>
      </c>
      <c r="M36" t="str">
        <f>"siakoud@hotmail.fr"</f>
        <v>siakoud@hotmail.fr</v>
      </c>
      <c r="N36" t="str">
        <f>"18 rue des buttes "</f>
        <v>18 rue des buttes </v>
      </c>
      <c r="O36" t="str">
        <f>"77500"</f>
        <v>77500</v>
      </c>
      <c r="P36" t="str">
        <f>"CHELLES "</f>
        <v>CHELLES </v>
      </c>
      <c r="Q36" t="str">
        <f>"France"</f>
        <v>France</v>
      </c>
      <c r="R36" t="s">
        <v>52</v>
      </c>
    </row>
    <row r="37" spans="1:18">
      <c r="A37" t="str">
        <f>"2024011152353"</f>
        <v>2024011152353</v>
      </c>
      <c r="B37" t="str">
        <f>"oQYuMfijWMjP"</f>
        <v>oQYuMfijWMjP</v>
      </c>
      <c r="C37" t="str">
        <f>"Carte bancaire"</f>
        <v>Carte bancaire</v>
      </c>
      <c r="D37" t="str">
        <f>"Comptant"</f>
        <v>Comptant</v>
      </c>
      <c r="E37" t="str">
        <f>"21/01/2024"</f>
        <v>21/01/2024</v>
      </c>
      <c r="F37" t="str">
        <f>"19:58:27"</f>
        <v>19:58:27</v>
      </c>
      <c r="G37">
        <v>200.0</v>
      </c>
      <c r="H37" t="str">
        <f>"EUR"</f>
        <v>EUR</v>
      </c>
      <c r="I37" t="str">
        <f>""</f>
        <v/>
      </c>
      <c r="J37" t="str">
        <f>""</f>
        <v/>
      </c>
      <c r="K37" t="str">
        <f>"Diallo"</f>
        <v>Diallo</v>
      </c>
      <c r="L37" t="str">
        <f>"Amadou"</f>
        <v>Amadou</v>
      </c>
      <c r="M37" t="str">
        <f>"amadou_diallo@sfr.fr"</f>
        <v>amadou_diallo@sfr.fr</v>
      </c>
      <c r="N37" t="str">
        <f>"285 avenue Georges Clemenceau "</f>
        <v>285 avenue Georges Clemenceau </v>
      </c>
      <c r="O37" t="str">
        <f>"92000"</f>
        <v>92000</v>
      </c>
      <c r="P37" t="str">
        <f>"Nanterre"</f>
        <v>Nanterre</v>
      </c>
      <c r="Q37" t="str">
        <f>"France"</f>
        <v>France</v>
      </c>
      <c r="R37" t="s">
        <v>53</v>
      </c>
    </row>
    <row r="38" spans="1:18">
      <c r="A38" t="str">
        <f>"2024011151750"</f>
        <v>2024011151750</v>
      </c>
      <c r="B38" t="str">
        <f>"H9L8QrsBA3rH"</f>
        <v>H9L8QrsBA3rH</v>
      </c>
      <c r="C38" t="str">
        <f>"Carte bancaire"</f>
        <v>Carte bancaire</v>
      </c>
      <c r="D38" t="str">
        <f>"Comptant"</f>
        <v>Comptant</v>
      </c>
      <c r="E38" t="str">
        <f>"21/01/2024"</f>
        <v>21/01/2024</v>
      </c>
      <c r="F38" t="str">
        <f>"13:49:12"</f>
        <v>13:49:12</v>
      </c>
      <c r="G38">
        <v>50.0</v>
      </c>
      <c r="H38" t="str">
        <f>"EUR"</f>
        <v>EUR</v>
      </c>
      <c r="I38" t="str">
        <f>""</f>
        <v/>
      </c>
      <c r="J38" t="str">
        <f>""</f>
        <v/>
      </c>
      <c r="K38" t="str">
        <f>"Deloupy"</f>
        <v>Deloupy</v>
      </c>
      <c r="L38" t="str">
        <f>"Anne-Laurence"</f>
        <v>Anne-Laurence</v>
      </c>
      <c r="M38" t="str">
        <f>"aldeloupy@gmail.com"</f>
        <v>aldeloupy@gmail.com</v>
      </c>
      <c r="N38" t="str">
        <f>"9 Rue Du Pont De Bart"</f>
        <v>9 Rue Du Pont De Bart</v>
      </c>
      <c r="O38" t="str">
        <f>"91230"</f>
        <v>91230</v>
      </c>
      <c r="P38" t="str">
        <f>"Montgeron"</f>
        <v>Montgeron</v>
      </c>
      <c r="Q38" t="str">
        <f>"France"</f>
        <v>France</v>
      </c>
      <c r="R38" t="s">
        <v>54</v>
      </c>
    </row>
    <row r="39" spans="1:18">
      <c r="A39" t="str">
        <f>"2024011151043"</f>
        <v>2024011151043</v>
      </c>
      <c r="B39" t="str">
        <f>"p0aZLBdUI9Os"</f>
        <v>p0aZLBdUI9Os</v>
      </c>
      <c r="C39" t="str">
        <f>"Carte bancaire"</f>
        <v>Carte bancaire</v>
      </c>
      <c r="D39" t="str">
        <f>"Comptant"</f>
        <v>Comptant</v>
      </c>
      <c r="E39" t="str">
        <f>"20/01/2024"</f>
        <v>20/01/2024</v>
      </c>
      <c r="F39" t="str">
        <f>"18:40:17"</f>
        <v>18:40:17</v>
      </c>
      <c r="G39">
        <v>50.0</v>
      </c>
      <c r="H39" t="str">
        <f>"EUR"</f>
        <v>EUR</v>
      </c>
      <c r="I39" t="str">
        <f>""</f>
        <v/>
      </c>
      <c r="J39" t="str">
        <f>""</f>
        <v/>
      </c>
      <c r="K39" t="str">
        <f>"Diallo"</f>
        <v>Diallo</v>
      </c>
      <c r="L39" t="str">
        <f>"Ilya"</f>
        <v>Ilya</v>
      </c>
      <c r="M39" t="str">
        <f>"ilya.diallo@gmail.com"</f>
        <v>ilya.diallo@gmail.com</v>
      </c>
      <c r="N39" t="str">
        <f>"9 rue du Pont de Bart"</f>
        <v>9 rue du Pont de Bart</v>
      </c>
      <c r="O39" t="str">
        <f>"91230"</f>
        <v>91230</v>
      </c>
      <c r="P39" t="str">
        <f>"Montgeron"</f>
        <v>Montgeron</v>
      </c>
      <c r="Q39" t="str">
        <f>"France"</f>
        <v>France</v>
      </c>
      <c r="R39" t="s">
        <v>55</v>
      </c>
    </row>
    <row r="40" spans="1:18">
      <c r="A40" t="str">
        <f>"2023011086214"</f>
        <v>2023011086214</v>
      </c>
      <c r="B40" t="str">
        <f>"IqKnJkCkLy28"</f>
        <v>IqKnJkCkLy28</v>
      </c>
      <c r="C40" t="str">
        <f>"Carte bancaire"</f>
        <v>Carte bancaire</v>
      </c>
      <c r="D40" t="str">
        <f>"Comptant"</f>
        <v>Comptant</v>
      </c>
      <c r="E40" t="str">
        <f>"17/12/2023"</f>
        <v>17/12/2023</v>
      </c>
      <c r="F40" t="str">
        <f>"19:54:58"</f>
        <v>19:54:58</v>
      </c>
      <c r="G40">
        <v>50.0</v>
      </c>
      <c r="H40" t="str">
        <f>"EUR"</f>
        <v>EUR</v>
      </c>
      <c r="I40" t="str">
        <f>""</f>
        <v/>
      </c>
      <c r="J40" t="str">
        <f>""</f>
        <v/>
      </c>
      <c r="K40" t="str">
        <f>"Diallo"</f>
        <v>Diallo</v>
      </c>
      <c r="L40" t="str">
        <f>"Fatoumata"</f>
        <v>Fatoumata</v>
      </c>
      <c r="M40" t="str">
        <f>"fatoumatawann@yahoo.fr"</f>
        <v>fatoumatawann@yahoo.fr</v>
      </c>
      <c r="N40" t="str">
        <f>"49 bis boulevard foch"</f>
        <v>49 bis boulevard foch</v>
      </c>
      <c r="O40" t="str">
        <f>"93800"</f>
        <v>93800</v>
      </c>
      <c r="P40" t="str">
        <f>"Epinay sur seine"</f>
        <v>Epinay sur seine</v>
      </c>
      <c r="Q40" t="str">
        <f>"France"</f>
        <v>France</v>
      </c>
      <c r="R40" t="s">
        <v>56</v>
      </c>
    </row>
    <row r="41" spans="1:18">
      <c r="A41" t="str">
        <f>"2023011079813"</f>
        <v>2023011079813</v>
      </c>
      <c r="B41" t="str">
        <f>"QvwxQnzHECNc"</f>
        <v>QvwxQnzHECNc</v>
      </c>
      <c r="C41" t="str">
        <f>"Carte bancaire"</f>
        <v>Carte bancaire</v>
      </c>
      <c r="D41" t="str">
        <f>"Comptant"</f>
        <v>Comptant</v>
      </c>
      <c r="E41" t="str">
        <f>"13/12/2023"</f>
        <v>13/12/2023</v>
      </c>
      <c r="F41" t="str">
        <f>"23:21:49"</f>
        <v>23:21:49</v>
      </c>
      <c r="G41">
        <v>50.0</v>
      </c>
      <c r="H41" t="str">
        <f>"EUR"</f>
        <v>EUR</v>
      </c>
      <c r="I41" t="str">
        <f>""</f>
        <v/>
      </c>
      <c r="J41" t="str">
        <f>""</f>
        <v/>
      </c>
      <c r="K41" t="str">
        <f>"Barry"</f>
        <v>Barry</v>
      </c>
      <c r="L41" t="str">
        <f>"Mamadou Aliou"</f>
        <v>Mamadou Aliou</v>
      </c>
      <c r="M41" t="str">
        <f>"yrrabmaliou@gmail.com"</f>
        <v>yrrabmaliou@gmail.com</v>
      </c>
      <c r="N41" t="str">
        <f>"23 Rue des Visages Radieux"</f>
        <v>23 Rue des Visages Radieux</v>
      </c>
      <c r="O41" t="str">
        <f>"80000"</f>
        <v>80000</v>
      </c>
      <c r="P41" t="str">
        <f>"Amiens"</f>
        <v>Amiens</v>
      </c>
      <c r="Q41" t="str">
        <f>"France"</f>
        <v>France</v>
      </c>
      <c r="R41" t="s">
        <v>57</v>
      </c>
    </row>
    <row r="42" spans="1:18">
      <c r="A42" t="str">
        <f>"2023010793741"</f>
        <v>2023010793741</v>
      </c>
      <c r="B42" t="str">
        <f>"YTGSrrFIU2zw"</f>
        <v>YTGSrrFIU2zw</v>
      </c>
      <c r="C42" t="str">
        <f>"Carte bancaire"</f>
        <v>Carte bancaire</v>
      </c>
      <c r="D42" t="str">
        <f>"Comptant"</f>
        <v>Comptant</v>
      </c>
      <c r="E42" t="str">
        <f>"19/08/2023"</f>
        <v>19/08/2023</v>
      </c>
      <c r="F42" t="str">
        <f>"17:24:04"</f>
        <v>17:24:04</v>
      </c>
      <c r="G42">
        <v>50.0</v>
      </c>
      <c r="H42" t="str">
        <f>"EUR"</f>
        <v>EUR</v>
      </c>
      <c r="I42" t="str">
        <f>""</f>
        <v/>
      </c>
      <c r="J42" t="str">
        <f>""</f>
        <v/>
      </c>
      <c r="K42" t="str">
        <f>"Diallo"</f>
        <v>Diallo</v>
      </c>
      <c r="L42" t="str">
        <f>"Oumou"</f>
        <v>Oumou</v>
      </c>
      <c r="M42" t="str">
        <f>"oumou_diallo1@yahoo.fr"</f>
        <v>oumou_diallo1@yahoo.fr</v>
      </c>
      <c r="N42" t="str">
        <f>"128 bis Boulevard Davout "</f>
        <v>128 bis Boulevard Davout </v>
      </c>
      <c r="O42" t="str">
        <f>"75020"</f>
        <v>75020</v>
      </c>
      <c r="P42" t="str">
        <f>"Paris "</f>
        <v>Paris </v>
      </c>
      <c r="Q42" t="str">
        <f>"France"</f>
        <v>France</v>
      </c>
      <c r="R42" t="s">
        <v>58</v>
      </c>
    </row>
    <row r="43" spans="1:18">
      <c r="A43" t="str">
        <f>"2023010779693"</f>
        <v>2023010779693</v>
      </c>
      <c r="B43" t="str">
        <f>"qeS6XgZtO3AP"</f>
        <v>qeS6XgZtO3AP</v>
      </c>
      <c r="C43" t="str">
        <f>"Carte bancaire"</f>
        <v>Carte bancaire</v>
      </c>
      <c r="D43" t="str">
        <f>"Comptant"</f>
        <v>Comptant</v>
      </c>
      <c r="E43" t="str">
        <f>"08/08/2023"</f>
        <v>08/08/2023</v>
      </c>
      <c r="F43" t="str">
        <f>"14:25:24"</f>
        <v>14:25:24</v>
      </c>
      <c r="G43">
        <v>50.0</v>
      </c>
      <c r="H43" t="str">
        <f>"EUR"</f>
        <v>EUR</v>
      </c>
      <c r="I43" t="str">
        <f>""</f>
        <v/>
      </c>
      <c r="J43" t="str">
        <f>""</f>
        <v/>
      </c>
      <c r="K43" t="str">
        <f>"Diallo"</f>
        <v>Diallo</v>
      </c>
      <c r="L43" t="str">
        <f>"Amadou"</f>
        <v>Amadou</v>
      </c>
      <c r="M43" t="str">
        <f>"amadou_diallo@sfr.fr"</f>
        <v>amadou_diallo@sfr.fr</v>
      </c>
      <c r="N43" t="str">
        <f>"285 avenue georges clemenceau"</f>
        <v>285 avenue georges clemenceau</v>
      </c>
      <c r="O43" t="str">
        <f>"92000"</f>
        <v>92000</v>
      </c>
      <c r="P43" t="str">
        <f>"Nanterre"</f>
        <v>Nanterre</v>
      </c>
      <c r="Q43" t="str">
        <f>"France"</f>
        <v>France</v>
      </c>
      <c r="R43" t="s">
        <v>59</v>
      </c>
    </row>
    <row r="44" spans="1:18">
      <c r="A44" t="str">
        <f>"2023010779686"</f>
        <v>2023010779686</v>
      </c>
      <c r="B44" t="str">
        <f>"SefdnwgADtis"</f>
        <v>SefdnwgADtis</v>
      </c>
      <c r="C44" t="str">
        <f>"Carte bancaire"</f>
        <v>Carte bancaire</v>
      </c>
      <c r="D44" t="str">
        <f>"Comptant"</f>
        <v>Comptant</v>
      </c>
      <c r="E44" t="str">
        <f>"08/08/2023"</f>
        <v>08/08/2023</v>
      </c>
      <c r="F44" t="str">
        <f>"14:22:49"</f>
        <v>14:22:49</v>
      </c>
      <c r="G44">
        <v>50.0</v>
      </c>
      <c r="H44" t="str">
        <f>"EUR"</f>
        <v>EUR</v>
      </c>
      <c r="I44" t="str">
        <f>""</f>
        <v/>
      </c>
      <c r="J44" t="str">
        <f>""</f>
        <v/>
      </c>
      <c r="K44" t="str">
        <f>"Diallo"</f>
        <v>Diallo</v>
      </c>
      <c r="L44" t="str">
        <f>"Amadou"</f>
        <v>Amadou</v>
      </c>
      <c r="M44" t="str">
        <f>"amadou_diallo@sfr.fr"</f>
        <v>amadou_diallo@sfr.fr</v>
      </c>
      <c r="N44" t="str">
        <f>"285, avenue georges clemenceau"</f>
        <v>285, avenue georges clemenceau</v>
      </c>
      <c r="O44" t="str">
        <f>"92000"</f>
        <v>92000</v>
      </c>
      <c r="P44" t="str">
        <f>"Nanterre"</f>
        <v>Nanterre</v>
      </c>
      <c r="Q44" t="str">
        <f>"France"</f>
        <v>France</v>
      </c>
      <c r="R44" t="s">
        <v>60</v>
      </c>
    </row>
    <row r="45" spans="1:18">
      <c r="A45" t="str">
        <f>"2023010779523"</f>
        <v>2023010779523</v>
      </c>
      <c r="B45" t="str">
        <f>"hz374PPoipzp"</f>
        <v>hz374PPoipzp</v>
      </c>
      <c r="C45" t="str">
        <f>"Carte bancaire"</f>
        <v>Carte bancaire</v>
      </c>
      <c r="D45" t="str">
        <f>"Comptant"</f>
        <v>Comptant</v>
      </c>
      <c r="E45" t="str">
        <f>"08/08/2023"</f>
        <v>08/08/2023</v>
      </c>
      <c r="F45" t="str">
        <f>"12:52:05"</f>
        <v>12:52:05</v>
      </c>
      <c r="G45">
        <v>50.0</v>
      </c>
      <c r="H45" t="str">
        <f>"EUR"</f>
        <v>EUR</v>
      </c>
      <c r="I45" t="str">
        <f>""</f>
        <v/>
      </c>
      <c r="J45" t="str">
        <f>""</f>
        <v/>
      </c>
      <c r="K45" t="str">
        <f>"DRAME "</f>
        <v>DRAME </v>
      </c>
      <c r="L45" t="str">
        <f>"AHAMADOU "</f>
        <v>AHAMADOU </v>
      </c>
      <c r="M45" t="str">
        <f>"siakoud@hotmail.fr"</f>
        <v>siakoud@hotmail.fr</v>
      </c>
      <c r="N45" t="str">
        <f>"18 rue des buttes"</f>
        <v>18 rue des buttes</v>
      </c>
      <c r="O45" t="str">
        <f>"77500"</f>
        <v>77500</v>
      </c>
      <c r="P45" t="str">
        <f>"Chelles"</f>
        <v>Chelles</v>
      </c>
      <c r="Q45" t="str">
        <f>"France"</f>
        <v>France</v>
      </c>
      <c r="R45" t="s">
        <v>61</v>
      </c>
    </row>
    <row r="46" spans="1:18">
      <c r="A46" t="str">
        <f>"2023010765651"</f>
        <v>2023010765651</v>
      </c>
      <c r="B46" t="str">
        <f>"YRXjBtI3zyrt"</f>
        <v>YRXjBtI3zyrt</v>
      </c>
      <c r="C46" t="str">
        <f>"Carte bancaire"</f>
        <v>Carte bancaire</v>
      </c>
      <c r="D46" t="str">
        <f>"Comptant"</f>
        <v>Comptant</v>
      </c>
      <c r="E46" t="str">
        <f>"30/07/2023"</f>
        <v>30/07/2023</v>
      </c>
      <c r="F46" t="str">
        <f>"13:48:59"</f>
        <v>13:48:59</v>
      </c>
      <c r="G46">
        <v>50.0</v>
      </c>
      <c r="H46" t="str">
        <f>"EUR"</f>
        <v>EUR</v>
      </c>
      <c r="I46" t="str">
        <f>""</f>
        <v/>
      </c>
      <c r="J46" t="str">
        <f>""</f>
        <v/>
      </c>
      <c r="K46" t="str">
        <f>"Diallo"</f>
        <v>Diallo</v>
      </c>
      <c r="L46" t="str">
        <f>"Alpha Oumar"</f>
        <v>Alpha Oumar</v>
      </c>
      <c r="M46" t="str">
        <f>"dialloalphao@yahoo.fr"</f>
        <v>dialloalphao@yahoo.fr</v>
      </c>
      <c r="N46" t="str">
        <f>"17 rue dé wolfisheim "</f>
        <v>17 rue dé wolfisheim </v>
      </c>
      <c r="O46" t="str">
        <f>"67205 "</f>
        <v>67205 </v>
      </c>
      <c r="P46" t="str">
        <f>"Oberhausbergen "</f>
        <v>Oberhausbergen </v>
      </c>
      <c r="Q46" t="str">
        <f>"France"</f>
        <v>France</v>
      </c>
      <c r="R46" t="s">
        <v>62</v>
      </c>
    </row>
    <row r="47" spans="1:18">
      <c r="A47" t="str">
        <f>"2023010680814"</f>
        <v>2023010680814</v>
      </c>
      <c r="B47" t="str">
        <f>"0QDGThbs7Jot"</f>
        <v>0QDGThbs7Jot</v>
      </c>
      <c r="C47" t="str">
        <f>"Carte bancaire"</f>
        <v>Carte bancaire</v>
      </c>
      <c r="D47" t="str">
        <f>"Comptant"</f>
        <v>Comptant</v>
      </c>
      <c r="E47" t="str">
        <f>"18/06/2023"</f>
        <v>18/06/2023</v>
      </c>
      <c r="F47" t="str">
        <f>"13:32:18"</f>
        <v>13:32:18</v>
      </c>
      <c r="G47">
        <v>50.0</v>
      </c>
      <c r="H47" t="str">
        <f>"EUR"</f>
        <v>EUR</v>
      </c>
      <c r="I47" t="str">
        <f>""</f>
        <v/>
      </c>
      <c r="J47" t="str">
        <f>""</f>
        <v/>
      </c>
      <c r="K47" t="str">
        <f>"Diallo"</f>
        <v>Diallo</v>
      </c>
      <c r="L47" t="str">
        <f>"Boubacar"</f>
        <v>Boubacar</v>
      </c>
      <c r="M47" t="str">
        <f>"diallo.boubacar77@hotmail.fr"</f>
        <v>diallo.boubacar77@hotmail.fr</v>
      </c>
      <c r="N47" t="str">
        <f>"5, rue LEQUATRE"</f>
        <v>5, rue LEQUATRE</v>
      </c>
      <c r="O47" t="str">
        <f>"45120"</f>
        <v>45120</v>
      </c>
      <c r="P47" t="str">
        <f>"Chalette-sur-loing"</f>
        <v>Chalette-sur-loing</v>
      </c>
      <c r="Q47" t="str">
        <f>"France"</f>
        <v>France</v>
      </c>
      <c r="R47" t="s">
        <v>63</v>
      </c>
    </row>
    <row r="48" spans="1:18">
      <c r="A48" t="str">
        <f>"2023010680249"</f>
        <v>2023010680249</v>
      </c>
      <c r="B48" t="str">
        <f>"zZjSYHJF3bE4"</f>
        <v>zZjSYHJF3bE4</v>
      </c>
      <c r="C48" t="str">
        <f>"Carte bancaire"</f>
        <v>Carte bancaire</v>
      </c>
      <c r="D48" t="str">
        <f>"Comptant"</f>
        <v>Comptant</v>
      </c>
      <c r="E48" t="str">
        <f>"17/06/2023"</f>
        <v>17/06/2023</v>
      </c>
      <c r="F48" t="str">
        <f>"21:57:56"</f>
        <v>21:57:56</v>
      </c>
      <c r="G48">
        <v>50.0</v>
      </c>
      <c r="H48" t="str">
        <f>"EUR"</f>
        <v>EUR</v>
      </c>
      <c r="I48" t="str">
        <f>""</f>
        <v/>
      </c>
      <c r="J48" t="str">
        <f>""</f>
        <v/>
      </c>
      <c r="K48" t="str">
        <f>"Barry"</f>
        <v>Barry</v>
      </c>
      <c r="L48" t="str">
        <f>"Mamadou Aliou "</f>
        <v>Mamadou Aliou </v>
      </c>
      <c r="M48" t="str">
        <f>"docteurbarry.a@gmail.com"</f>
        <v>docteurbarry.a@gmail.com</v>
      </c>
      <c r="N48" t="str">
        <f>"6 Rue Primo Levi"</f>
        <v>6 Rue Primo Levi</v>
      </c>
      <c r="O48" t="str">
        <f>"45100"</f>
        <v>45100</v>
      </c>
      <c r="P48" t="str">
        <f>"Orléans"</f>
        <v>Orléans</v>
      </c>
      <c r="Q48" t="str">
        <f>"France"</f>
        <v>France</v>
      </c>
      <c r="R48" t="s">
        <v>64</v>
      </c>
    </row>
    <row r="49" spans="1:18">
      <c r="A49" t="str">
        <f>"2023010679975"</f>
        <v>2023010679975</v>
      </c>
      <c r="B49" t="str">
        <f>"WA5uRVrj8TcS"</f>
        <v>WA5uRVrj8TcS</v>
      </c>
      <c r="C49" t="str">
        <f>"Carte bancaire"</f>
        <v>Carte bancaire</v>
      </c>
      <c r="D49" t="str">
        <f>"Comptant"</f>
        <v>Comptant</v>
      </c>
      <c r="E49" t="str">
        <f>"17/06/2023"</f>
        <v>17/06/2023</v>
      </c>
      <c r="F49" t="str">
        <f>"17:46:54"</f>
        <v>17:46:54</v>
      </c>
      <c r="G49">
        <v>50.0</v>
      </c>
      <c r="H49" t="str">
        <f>"EUR"</f>
        <v>EUR</v>
      </c>
      <c r="I49" t="str">
        <f>""</f>
        <v/>
      </c>
      <c r="J49" t="str">
        <f>""</f>
        <v/>
      </c>
      <c r="K49" t="str">
        <f>"Wann "</f>
        <v>Wann </v>
      </c>
      <c r="L49" t="str">
        <f>"Abdoul Rahimi "</f>
        <v>Abdoul Rahimi </v>
      </c>
      <c r="M49" t="str">
        <f>"arahim.wann@free.fr"</f>
        <v>arahim.wann@free.fr</v>
      </c>
      <c r="N49" t="str">
        <f>"42 rue Georges Thoretton "</f>
        <v>42 rue Georges Thoretton </v>
      </c>
      <c r="O49" t="str">
        <f>"92230"</f>
        <v>92230</v>
      </c>
      <c r="P49" t="str">
        <f>"Gennevilliers "</f>
        <v>Gennevilliers </v>
      </c>
      <c r="Q49" t="str">
        <f>"France"</f>
        <v>France</v>
      </c>
      <c r="R49" t="s">
        <v>65</v>
      </c>
    </row>
    <row r="50" spans="1:18">
      <c r="A50" t="str">
        <f>"2023010646486"</f>
        <v>2023010646486</v>
      </c>
      <c r="B50" t="str">
        <f>"EiNCRno43gxu"</f>
        <v>EiNCRno43gxu</v>
      </c>
      <c r="C50" t="str">
        <f>"Carte bancaire"</f>
        <v>Carte bancaire</v>
      </c>
      <c r="D50" t="str">
        <f>"Comptant"</f>
        <v>Comptant</v>
      </c>
      <c r="E50" t="str">
        <f>"03/06/2023"</f>
        <v>03/06/2023</v>
      </c>
      <c r="F50" t="str">
        <f>"17:35:42"</f>
        <v>17:35:42</v>
      </c>
      <c r="G50">
        <v>50.0</v>
      </c>
      <c r="H50" t="str">
        <f>"EUR"</f>
        <v>EUR</v>
      </c>
      <c r="I50" t="str">
        <f>""</f>
        <v/>
      </c>
      <c r="J50" t="str">
        <f>""</f>
        <v/>
      </c>
      <c r="K50" t="str">
        <f>"Diallo"</f>
        <v>Diallo</v>
      </c>
      <c r="L50" t="str">
        <f>"Ilya"</f>
        <v>Ilya</v>
      </c>
      <c r="M50" t="str">
        <f>"ilya.diallo@gmail.com"</f>
        <v>ilya.diallo@gmail.com</v>
      </c>
      <c r="N50" t="str">
        <f>"9 rue du Pont de Bart"</f>
        <v>9 rue du Pont de Bart</v>
      </c>
      <c r="O50" t="str">
        <f>"91230"</f>
        <v>91230</v>
      </c>
      <c r="P50" t="str">
        <f>"Montgeron"</f>
        <v>Montgeron</v>
      </c>
      <c r="Q50" t="str">
        <f>"France"</f>
        <v>France</v>
      </c>
      <c r="R50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EURO-INFORMATION - Européenne de Traitement de l'Information</dc:creator>
  <cp:lastModifiedBy>EURO-INFORMATION - Européenne de Traitement de l'Information</cp:lastModifiedBy>
  <dcterms:created xsi:type="dcterms:W3CDTF">2026-03-21T21:27:21+00:00</dcterms:created>
  <dcterms:modified xsi:type="dcterms:W3CDTF">2026-03-21T21:27:21+00:00</dcterms:modified>
  <dc:title>Pay Asso - Fichier récapitulatif</dc:title>
  <dc:description/>
  <dc:subject/>
  <cp:keywords/>
  <cp:category/>
</cp:coreProperties>
</file>